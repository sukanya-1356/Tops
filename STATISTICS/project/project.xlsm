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586508d4ecf5f62/Desktop/"/>
    </mc:Choice>
  </mc:AlternateContent>
  <xr:revisionPtr revIDLastSave="142" documentId="8_{89BFA9FE-654F-4B34-B10F-B24B75689CEA}" xr6:coauthVersionLast="47" xr6:coauthVersionMax="47" xr10:uidLastSave="{54E190EB-0984-4F30-836D-090974854AD5}"/>
  <bookViews>
    <workbookView xWindow="-120" yWindow="-120" windowWidth="20730" windowHeight="11040" xr2:uid="{E4CCC87E-F812-472D-8A5C-D8859EB4B06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1" l="1"/>
  <c r="O25" i="1"/>
  <c r="O23" i="1"/>
  <c r="O24" i="1"/>
  <c r="O21" i="1"/>
  <c r="O20" i="1"/>
  <c r="P13" i="1" l="1"/>
  <c r="P10" i="1"/>
  <c r="P8" i="1"/>
  <c r="Q6" i="1" l="1"/>
  <c r="Q5" i="1"/>
  <c r="P6" i="1"/>
  <c r="O6" i="1"/>
  <c r="P5" i="1"/>
  <c r="O5" i="1"/>
</calcChain>
</file>

<file path=xl/sharedStrings.xml><?xml version="1.0" encoding="utf-8"?>
<sst xmlns="http://schemas.openxmlformats.org/spreadsheetml/2006/main" count="1533" uniqueCount="45">
  <si>
    <t>Month</t>
  </si>
  <si>
    <t>Region</t>
  </si>
  <si>
    <t>Salesperson</t>
  </si>
  <si>
    <t>Sales ($)</t>
  </si>
  <si>
    <t>Customer Complaints</t>
  </si>
  <si>
    <t>May</t>
  </si>
  <si>
    <t>North</t>
  </si>
  <si>
    <t>Charlie</t>
  </si>
  <si>
    <t>February</t>
  </si>
  <si>
    <t>Alice</t>
  </si>
  <si>
    <t>March</t>
  </si>
  <si>
    <t>April</t>
  </si>
  <si>
    <t>Diana</t>
  </si>
  <si>
    <t>January</t>
  </si>
  <si>
    <t>Bob</t>
  </si>
  <si>
    <t>South</t>
  </si>
  <si>
    <t>1: Find the Variance and Standard Deviation of Sales</t>
  </si>
  <si>
    <t>North Region</t>
  </si>
  <si>
    <t>South Region</t>
  </si>
  <si>
    <t>varience</t>
  </si>
  <si>
    <t>sd</t>
  </si>
  <si>
    <t>mean</t>
  </si>
  <si>
    <t>2.Is there a significant difference between the average sales of North and South regions?</t>
  </si>
  <si>
    <t>3. Calculate the Coefficient of Variation (CV) for Sales</t>
  </si>
  <si>
    <t>t-test</t>
  </si>
  <si>
    <t>East</t>
  </si>
  <si>
    <t>West</t>
  </si>
  <si>
    <t>cv</t>
  </si>
  <si>
    <t>4. Is there a relationship between "Sales ($)" and "Customer Complaints"?</t>
  </si>
  <si>
    <t>Co-relation</t>
  </si>
  <si>
    <t>5. Assume a 95% confidence level and use the mean, standard deviation, and sample size to calculate the confidence interval for the "Sales ($)" column</t>
  </si>
  <si>
    <t>calculation</t>
  </si>
  <si>
    <t>sample size</t>
  </si>
  <si>
    <t>standard error</t>
  </si>
  <si>
    <t>confidence interval(upper bound)</t>
  </si>
  <si>
    <t>confidence interval(lower bound)</t>
  </si>
  <si>
    <t>result</t>
  </si>
  <si>
    <t>standard deviation</t>
  </si>
  <si>
    <t>t-value(for 95% of confidence)</t>
  </si>
  <si>
    <t>1. In North Region has a higher variance(225533.9) and standard deviation(474.90) compared to the South Region (Variance: 190770.13 and Standard Deviation: 436.77)</t>
  </si>
  <si>
    <t>2. Sales in the North are more spread out compared to the South.</t>
  </si>
  <si>
    <t>3. P-Value(0.8814) is much greater than 0.05, there is no significant difference in the average sales between the North and South Region.</t>
  </si>
  <si>
    <t>4. The sales data shows low relative variability (CV(9.41%) &lt; 10%), which means the data is relatively consistent around the mean.</t>
  </si>
  <si>
    <t>5. Correlation coefficient = 0.046, This is a very weak positive correlation, indicating almost no relationship between sales and customer complaints.</t>
  </si>
  <si>
    <t>conclusion: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</si>
</sst>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3FF45C-DEC6-4A72-B9C8-A6373D79A7D9}" name="Table1" displayName="Table1" ref="N19:O26" totalsRowShown="0" headerRowDxfId="0" dataDxfId="1">
  <autoFilter ref="N19:O26" xr:uid="{B03FF45C-DEC6-4A72-B9C8-A6373D79A7D9}"/>
  <tableColumns count="2">
    <tableColumn id="1" xr3:uid="{82AFD338-90DB-43A0-AB55-4CEF24035F28}" name="calculation" dataDxfId="3"/>
    <tableColumn id="2" xr3:uid="{7A1D2052-0791-4788-B87A-A5382F684B3E}" name="resul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041A-DE07-49B4-BAD1-0AA840FDB285}">
  <sheetPr codeName="Sheet1"/>
  <dimension ref="A1:X201"/>
  <sheetViews>
    <sheetView tabSelected="1" topLeftCell="B1" zoomScale="80" zoomScaleNormal="80" workbookViewId="0">
      <selection activeCell="N35" sqref="N35"/>
    </sheetView>
  </sheetViews>
  <sheetFormatPr defaultRowHeight="15" x14ac:dyDescent="0.25"/>
  <cols>
    <col min="1" max="1" width="8.7109375" style="1" bestFit="1" customWidth="1"/>
    <col min="2" max="2" width="7" style="1" bestFit="1" customWidth="1"/>
    <col min="3" max="3" width="11.85546875" style="1" bestFit="1" customWidth="1"/>
    <col min="4" max="4" width="8.5703125" style="1" bestFit="1" customWidth="1"/>
    <col min="5" max="5" width="20.28515625" style="1" bestFit="1" customWidth="1"/>
    <col min="6" max="6" width="9.140625" style="1"/>
    <col min="7" max="7" width="8.7109375" style="1" bestFit="1" customWidth="1"/>
    <col min="8" max="8" width="7" style="1" bestFit="1" customWidth="1"/>
    <col min="9" max="9" width="11.85546875" style="1" bestFit="1" customWidth="1"/>
    <col min="10" max="10" width="8.5703125" style="1" bestFit="1" customWidth="1"/>
    <col min="11" max="11" width="20.28515625" style="1" bestFit="1" customWidth="1"/>
    <col min="12" max="12" width="9.140625" style="1"/>
    <col min="13" max="13" width="6.140625" style="1" bestFit="1" customWidth="1"/>
    <col min="14" max="14" width="55.7109375" style="1" customWidth="1"/>
    <col min="15" max="15" width="10.7109375" style="1" customWidth="1"/>
    <col min="16" max="21" width="9.140625" style="1"/>
    <col min="22" max="22" width="13.140625" style="1" customWidth="1"/>
    <col min="23" max="23" width="9.140625" style="1"/>
    <col min="24" max="24" width="18.42578125" style="1" customWidth="1"/>
    <col min="25" max="16384" width="9.140625" style="1"/>
  </cols>
  <sheetData>
    <row r="1" spans="1: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T1" s="1" t="s">
        <v>0</v>
      </c>
      <c r="U1" s="1" t="s">
        <v>1</v>
      </c>
      <c r="V1" s="1" t="s">
        <v>2</v>
      </c>
      <c r="W1" s="1" t="s">
        <v>3</v>
      </c>
      <c r="X1" s="1" t="s">
        <v>4</v>
      </c>
    </row>
    <row r="2" spans="1:24" x14ac:dyDescent="0.25">
      <c r="A2" s="1" t="s">
        <v>5</v>
      </c>
      <c r="B2" s="1" t="s">
        <v>6</v>
      </c>
      <c r="C2" s="1" t="s">
        <v>7</v>
      </c>
      <c r="D2" s="1">
        <v>4786</v>
      </c>
      <c r="E2" s="1">
        <v>4</v>
      </c>
      <c r="G2" s="1" t="s">
        <v>13</v>
      </c>
      <c r="H2" s="1" t="s">
        <v>15</v>
      </c>
      <c r="I2" s="1" t="s">
        <v>14</v>
      </c>
      <c r="J2" s="1">
        <v>4138</v>
      </c>
      <c r="K2" s="1">
        <v>2</v>
      </c>
      <c r="M2" s="2"/>
      <c r="T2" s="1" t="s">
        <v>13</v>
      </c>
      <c r="U2" s="1" t="s">
        <v>25</v>
      </c>
      <c r="V2" s="1" t="s">
        <v>12</v>
      </c>
      <c r="W2" s="1">
        <v>4004</v>
      </c>
      <c r="X2" s="1">
        <v>2</v>
      </c>
    </row>
    <row r="3" spans="1:24" x14ac:dyDescent="0.25">
      <c r="A3" s="1" t="s">
        <v>8</v>
      </c>
      <c r="B3" s="1" t="s">
        <v>6</v>
      </c>
      <c r="C3" s="1" t="s">
        <v>9</v>
      </c>
      <c r="D3" s="1">
        <v>5182</v>
      </c>
      <c r="E3" s="1">
        <v>4</v>
      </c>
      <c r="G3" s="1" t="s">
        <v>5</v>
      </c>
      <c r="H3" s="1" t="s">
        <v>15</v>
      </c>
      <c r="I3" s="1" t="s">
        <v>12</v>
      </c>
      <c r="J3" s="1">
        <v>4840</v>
      </c>
      <c r="K3" s="1">
        <v>1</v>
      </c>
      <c r="N3" s="1" t="s">
        <v>16</v>
      </c>
      <c r="T3" s="1" t="s">
        <v>13</v>
      </c>
      <c r="U3" s="1" t="s">
        <v>15</v>
      </c>
      <c r="V3" s="1" t="s">
        <v>14</v>
      </c>
      <c r="W3" s="1">
        <v>4138</v>
      </c>
      <c r="X3" s="1">
        <v>2</v>
      </c>
    </row>
    <row r="4" spans="1:24" x14ac:dyDescent="0.25">
      <c r="A4" s="1" t="s">
        <v>5</v>
      </c>
      <c r="B4" s="1" t="s">
        <v>6</v>
      </c>
      <c r="C4" s="1" t="s">
        <v>9</v>
      </c>
      <c r="D4" s="1">
        <v>4599</v>
      </c>
      <c r="E4" s="1">
        <v>2</v>
      </c>
      <c r="G4" s="1" t="s">
        <v>5</v>
      </c>
      <c r="H4" s="1" t="s">
        <v>15</v>
      </c>
      <c r="I4" s="1" t="s">
        <v>14</v>
      </c>
      <c r="J4" s="1">
        <v>4398</v>
      </c>
      <c r="K4" s="1">
        <v>4</v>
      </c>
      <c r="O4" s="1" t="s">
        <v>19</v>
      </c>
      <c r="P4" s="1" t="s">
        <v>20</v>
      </c>
      <c r="Q4" s="1" t="s">
        <v>21</v>
      </c>
      <c r="T4" s="1" t="s">
        <v>5</v>
      </c>
      <c r="U4" s="1" t="s">
        <v>15</v>
      </c>
      <c r="V4" s="1" t="s">
        <v>12</v>
      </c>
      <c r="W4" s="1">
        <v>4840</v>
      </c>
      <c r="X4" s="1">
        <v>1</v>
      </c>
    </row>
    <row r="5" spans="1:24" x14ac:dyDescent="0.25">
      <c r="A5" s="1" t="s">
        <v>5</v>
      </c>
      <c r="B5" s="1" t="s">
        <v>6</v>
      </c>
      <c r="C5" s="1" t="s">
        <v>9</v>
      </c>
      <c r="D5" s="1">
        <v>5147</v>
      </c>
      <c r="E5" s="1">
        <v>5</v>
      </c>
      <c r="G5" s="1" t="s">
        <v>8</v>
      </c>
      <c r="H5" s="1" t="s">
        <v>15</v>
      </c>
      <c r="I5" s="1" t="s">
        <v>7</v>
      </c>
      <c r="J5" s="1">
        <v>4617</v>
      </c>
      <c r="K5" s="1">
        <v>5</v>
      </c>
      <c r="N5" s="1" t="s">
        <v>17</v>
      </c>
      <c r="O5" s="1">
        <f>_xlfn.VAR.S(B1:B43,D1:D43)</f>
        <v>225533.90011614401</v>
      </c>
      <c r="P5" s="1">
        <f>_xlfn.STDEV.S(B1:B43,D1:D43)</f>
        <v>474.90409570369468</v>
      </c>
      <c r="Q5" s="1">
        <f>AVERAGE(B1:B43,D1:D43)</f>
        <v>4692.3809523809523</v>
      </c>
      <c r="T5" s="1" t="s">
        <v>5</v>
      </c>
      <c r="U5" s="1" t="s">
        <v>15</v>
      </c>
      <c r="V5" s="1" t="s">
        <v>14</v>
      </c>
      <c r="W5" s="1">
        <v>4398</v>
      </c>
      <c r="X5" s="1">
        <v>4</v>
      </c>
    </row>
    <row r="6" spans="1:24" x14ac:dyDescent="0.25">
      <c r="A6" s="1" t="s">
        <v>10</v>
      </c>
      <c r="B6" s="1" t="s">
        <v>6</v>
      </c>
      <c r="C6" s="1" t="s">
        <v>7</v>
      </c>
      <c r="D6" s="1">
        <v>4040</v>
      </c>
      <c r="E6" s="1">
        <v>3</v>
      </c>
      <c r="G6" s="1" t="s">
        <v>10</v>
      </c>
      <c r="H6" s="1" t="s">
        <v>15</v>
      </c>
      <c r="I6" s="1" t="s">
        <v>7</v>
      </c>
      <c r="J6" s="1">
        <v>5072</v>
      </c>
      <c r="K6" s="1">
        <v>3</v>
      </c>
      <c r="N6" s="1" t="s">
        <v>18</v>
      </c>
      <c r="O6" s="1">
        <f>_xlfn.VAR.S(H1:H54,J1:J54)</f>
        <v>190770.12917271402</v>
      </c>
      <c r="P6" s="1">
        <f>_xlfn.STDEV.S(H1:H54,J1:J54)</f>
        <v>436.77239973779712</v>
      </c>
      <c r="Q6" s="1">
        <f>AVERAGE(H1:H54,J1:J54)</f>
        <v>4678.2075471698117</v>
      </c>
      <c r="T6" s="1" t="s">
        <v>10</v>
      </c>
      <c r="U6" s="1" t="s">
        <v>26</v>
      </c>
      <c r="V6" s="1" t="s">
        <v>9</v>
      </c>
      <c r="W6" s="1">
        <v>5208</v>
      </c>
      <c r="X6" s="1">
        <v>2</v>
      </c>
    </row>
    <row r="7" spans="1:24" x14ac:dyDescent="0.25">
      <c r="A7" s="1" t="s">
        <v>11</v>
      </c>
      <c r="B7" s="1" t="s">
        <v>6</v>
      </c>
      <c r="C7" s="1" t="s">
        <v>12</v>
      </c>
      <c r="D7" s="1">
        <v>4267</v>
      </c>
      <c r="E7" s="1">
        <v>1</v>
      </c>
      <c r="G7" s="1" t="s">
        <v>13</v>
      </c>
      <c r="H7" s="1" t="s">
        <v>15</v>
      </c>
      <c r="I7" s="1" t="s">
        <v>7</v>
      </c>
      <c r="J7" s="1">
        <v>5065</v>
      </c>
      <c r="K7" s="1">
        <v>3</v>
      </c>
      <c r="T7" s="1" t="s">
        <v>5</v>
      </c>
      <c r="U7" s="1" t="s">
        <v>6</v>
      </c>
      <c r="V7" s="1" t="s">
        <v>7</v>
      </c>
      <c r="W7" s="1">
        <v>4786</v>
      </c>
      <c r="X7" s="1">
        <v>4</v>
      </c>
    </row>
    <row r="8" spans="1:24" ht="30" x14ac:dyDescent="0.25">
      <c r="A8" s="1" t="s">
        <v>13</v>
      </c>
      <c r="B8" s="1" t="s">
        <v>6</v>
      </c>
      <c r="C8" s="1" t="s">
        <v>7</v>
      </c>
      <c r="D8" s="1">
        <v>4107</v>
      </c>
      <c r="E8" s="1">
        <v>3</v>
      </c>
      <c r="G8" s="1" t="s">
        <v>11</v>
      </c>
      <c r="H8" s="1" t="s">
        <v>15</v>
      </c>
      <c r="I8" s="1" t="s">
        <v>9</v>
      </c>
      <c r="J8" s="1">
        <v>5473</v>
      </c>
      <c r="K8" s="1">
        <v>1</v>
      </c>
      <c r="N8" s="3" t="s">
        <v>22</v>
      </c>
      <c r="O8" s="1" t="s">
        <v>24</v>
      </c>
      <c r="P8" s="1">
        <f>_xlfn.T.TEST(B1:D43,H1:J54,2,3)</f>
        <v>0.8813925262372504</v>
      </c>
      <c r="T8" s="1" t="s">
        <v>13</v>
      </c>
      <c r="U8" s="1" t="s">
        <v>25</v>
      </c>
      <c r="V8" s="1" t="s">
        <v>7</v>
      </c>
      <c r="W8" s="1">
        <v>4441</v>
      </c>
      <c r="X8" s="1">
        <v>2</v>
      </c>
    </row>
    <row r="9" spans="1:24" x14ac:dyDescent="0.25">
      <c r="A9" s="1" t="s">
        <v>5</v>
      </c>
      <c r="B9" s="1" t="s">
        <v>6</v>
      </c>
      <c r="C9" s="1" t="s">
        <v>7</v>
      </c>
      <c r="D9" s="1">
        <v>4903</v>
      </c>
      <c r="E9" s="1">
        <v>3</v>
      </c>
      <c r="G9" s="1" t="s">
        <v>10</v>
      </c>
      <c r="H9" s="1" t="s">
        <v>15</v>
      </c>
      <c r="I9" s="1" t="s">
        <v>7</v>
      </c>
      <c r="J9" s="1">
        <v>4708</v>
      </c>
      <c r="K9" s="1">
        <v>5</v>
      </c>
      <c r="T9" s="1" t="s">
        <v>8</v>
      </c>
      <c r="U9" s="1" t="s">
        <v>6</v>
      </c>
      <c r="V9" s="1" t="s">
        <v>9</v>
      </c>
      <c r="W9" s="1">
        <v>5182</v>
      </c>
      <c r="X9" s="1">
        <v>4</v>
      </c>
    </row>
    <row r="10" spans="1:24" ht="30" x14ac:dyDescent="0.25">
      <c r="A10" s="1" t="s">
        <v>11</v>
      </c>
      <c r="B10" s="1" t="s">
        <v>6</v>
      </c>
      <c r="C10" s="1" t="s">
        <v>9</v>
      </c>
      <c r="D10" s="1">
        <v>4362</v>
      </c>
      <c r="E10" s="1">
        <v>3</v>
      </c>
      <c r="G10" s="1" t="s">
        <v>13</v>
      </c>
      <c r="H10" s="1" t="s">
        <v>15</v>
      </c>
      <c r="I10" s="1" t="s">
        <v>14</v>
      </c>
      <c r="J10" s="1">
        <v>5022</v>
      </c>
      <c r="K10" s="1">
        <v>1</v>
      </c>
      <c r="N10" s="3" t="s">
        <v>23</v>
      </c>
      <c r="O10" s="1" t="s">
        <v>27</v>
      </c>
      <c r="P10" s="1">
        <f>_xlfn.STDEV.S(Sheet1!D1:D201)/AVERAGE(Sheet1!D1:D201)*100</f>
        <v>10.120748944365323</v>
      </c>
      <c r="T10" s="1" t="s">
        <v>5</v>
      </c>
      <c r="U10" s="1" t="s">
        <v>25</v>
      </c>
      <c r="V10" s="1" t="s">
        <v>14</v>
      </c>
      <c r="W10" s="1">
        <v>4702</v>
      </c>
      <c r="X10" s="1">
        <v>1</v>
      </c>
    </row>
    <row r="11" spans="1:24" x14ac:dyDescent="0.25">
      <c r="A11" s="1" t="s">
        <v>8</v>
      </c>
      <c r="B11" s="1" t="s">
        <v>6</v>
      </c>
      <c r="C11" s="1" t="s">
        <v>12</v>
      </c>
      <c r="D11" s="1">
        <v>4058</v>
      </c>
      <c r="E11" s="1">
        <v>4</v>
      </c>
      <c r="G11" s="1" t="s">
        <v>10</v>
      </c>
      <c r="H11" s="1" t="s">
        <v>15</v>
      </c>
      <c r="I11" s="1" t="s">
        <v>14</v>
      </c>
      <c r="J11" s="1">
        <v>5430</v>
      </c>
      <c r="K11" s="1">
        <v>5</v>
      </c>
      <c r="T11" s="1" t="s">
        <v>8</v>
      </c>
      <c r="U11" s="1" t="s">
        <v>26</v>
      </c>
      <c r="V11" s="1" t="s">
        <v>7</v>
      </c>
      <c r="W11" s="1">
        <v>4983</v>
      </c>
      <c r="X11" s="1">
        <v>4</v>
      </c>
    </row>
    <row r="12" spans="1:24" x14ac:dyDescent="0.25">
      <c r="A12" s="1" t="s">
        <v>8</v>
      </c>
      <c r="B12" s="1" t="s">
        <v>6</v>
      </c>
      <c r="C12" s="1" t="s">
        <v>9</v>
      </c>
      <c r="D12" s="1">
        <v>4795</v>
      </c>
      <c r="E12" s="1">
        <v>1</v>
      </c>
      <c r="G12" s="1" t="s">
        <v>11</v>
      </c>
      <c r="H12" s="1" t="s">
        <v>15</v>
      </c>
      <c r="I12" s="1" t="s">
        <v>7</v>
      </c>
      <c r="J12" s="1">
        <v>5341</v>
      </c>
      <c r="K12" s="1">
        <v>4</v>
      </c>
      <c r="T12" s="1" t="s">
        <v>5</v>
      </c>
      <c r="U12" s="1" t="s">
        <v>25</v>
      </c>
      <c r="V12" s="1" t="s">
        <v>14</v>
      </c>
      <c r="W12" s="1">
        <v>4000</v>
      </c>
      <c r="X12" s="1">
        <v>2</v>
      </c>
    </row>
    <row r="13" spans="1:24" ht="30" x14ac:dyDescent="0.25">
      <c r="A13" s="1" t="s">
        <v>8</v>
      </c>
      <c r="B13" s="1" t="s">
        <v>6</v>
      </c>
      <c r="C13" s="1" t="s">
        <v>14</v>
      </c>
      <c r="D13" s="1">
        <v>4662</v>
      </c>
      <c r="E13" s="1">
        <v>4</v>
      </c>
      <c r="G13" s="1" t="s">
        <v>11</v>
      </c>
      <c r="H13" s="1" t="s">
        <v>15</v>
      </c>
      <c r="I13" s="1" t="s">
        <v>9</v>
      </c>
      <c r="J13" s="1">
        <v>5398</v>
      </c>
      <c r="K13" s="1">
        <v>3</v>
      </c>
      <c r="N13" s="3" t="s">
        <v>28</v>
      </c>
      <c r="O13" s="1" t="s">
        <v>29</v>
      </c>
      <c r="P13" s="1">
        <f>CORREL(Sheet2!D1:D201,Sheet2!E1:E201)</f>
        <v>4.6024028266518399E-2</v>
      </c>
      <c r="T13" s="1" t="s">
        <v>13</v>
      </c>
      <c r="U13" s="1" t="s">
        <v>26</v>
      </c>
      <c r="V13" s="1" t="s">
        <v>12</v>
      </c>
      <c r="W13" s="1">
        <v>5146</v>
      </c>
      <c r="X13" s="1">
        <v>4</v>
      </c>
    </row>
    <row r="14" spans="1:24" x14ac:dyDescent="0.25">
      <c r="A14" s="1" t="s">
        <v>11</v>
      </c>
      <c r="B14" s="1" t="s">
        <v>6</v>
      </c>
      <c r="C14" s="1" t="s">
        <v>9</v>
      </c>
      <c r="D14" s="1">
        <v>4731</v>
      </c>
      <c r="E14" s="1">
        <v>3</v>
      </c>
      <c r="G14" s="1" t="s">
        <v>13</v>
      </c>
      <c r="H14" s="1" t="s">
        <v>15</v>
      </c>
      <c r="I14" s="1" t="s">
        <v>9</v>
      </c>
      <c r="J14" s="1">
        <v>4790</v>
      </c>
      <c r="K14" s="1">
        <v>2</v>
      </c>
      <c r="T14" s="1" t="s">
        <v>8</v>
      </c>
      <c r="U14" s="1" t="s">
        <v>15</v>
      </c>
      <c r="V14" s="1" t="s">
        <v>7</v>
      </c>
      <c r="W14" s="1">
        <v>4617</v>
      </c>
      <c r="X14" s="1">
        <v>5</v>
      </c>
    </row>
    <row r="15" spans="1:24" x14ac:dyDescent="0.25">
      <c r="A15" s="1" t="s">
        <v>10</v>
      </c>
      <c r="B15" s="1" t="s">
        <v>6</v>
      </c>
      <c r="C15" s="1" t="s">
        <v>14</v>
      </c>
      <c r="D15" s="1">
        <v>4769</v>
      </c>
      <c r="E15" s="1">
        <v>2</v>
      </c>
      <c r="G15" s="1" t="s">
        <v>8</v>
      </c>
      <c r="H15" s="1" t="s">
        <v>15</v>
      </c>
      <c r="I15" s="1" t="s">
        <v>9</v>
      </c>
      <c r="J15" s="1">
        <v>4652</v>
      </c>
      <c r="K15" s="1">
        <v>4</v>
      </c>
      <c r="T15" s="1" t="s">
        <v>5</v>
      </c>
      <c r="U15" s="1" t="s">
        <v>6</v>
      </c>
      <c r="V15" s="1" t="s">
        <v>9</v>
      </c>
      <c r="W15" s="1">
        <v>4599</v>
      </c>
      <c r="X15" s="1">
        <v>2</v>
      </c>
    </row>
    <row r="16" spans="1:24" ht="75" customHeight="1" x14ac:dyDescent="0.25">
      <c r="A16" s="1" t="s">
        <v>10</v>
      </c>
      <c r="B16" s="1" t="s">
        <v>6</v>
      </c>
      <c r="C16" s="1" t="s">
        <v>9</v>
      </c>
      <c r="D16" s="1">
        <v>5239</v>
      </c>
      <c r="E16" s="1">
        <v>2</v>
      </c>
      <c r="G16" s="1" t="s">
        <v>8</v>
      </c>
      <c r="H16" s="1" t="s">
        <v>15</v>
      </c>
      <c r="I16" s="1" t="s">
        <v>9</v>
      </c>
      <c r="J16" s="1">
        <v>4040</v>
      </c>
      <c r="K16" s="1">
        <v>3</v>
      </c>
      <c r="N16" s="3" t="s">
        <v>30</v>
      </c>
      <c r="T16" s="1" t="s">
        <v>13</v>
      </c>
      <c r="U16" s="1" t="s">
        <v>26</v>
      </c>
      <c r="V16" s="1" t="s">
        <v>14</v>
      </c>
      <c r="W16" s="1">
        <v>4505</v>
      </c>
      <c r="X16" s="1">
        <v>3</v>
      </c>
    </row>
    <row r="17" spans="1:24" x14ac:dyDescent="0.25">
      <c r="A17" s="1" t="s">
        <v>5</v>
      </c>
      <c r="B17" s="1" t="s">
        <v>6</v>
      </c>
      <c r="C17" s="1" t="s">
        <v>12</v>
      </c>
      <c r="D17" s="1">
        <v>5296</v>
      </c>
      <c r="E17" s="1">
        <v>1</v>
      </c>
      <c r="G17" s="1" t="s">
        <v>11</v>
      </c>
      <c r="H17" s="1" t="s">
        <v>15</v>
      </c>
      <c r="I17" s="1" t="s">
        <v>12</v>
      </c>
      <c r="J17" s="1">
        <v>4204</v>
      </c>
      <c r="K17" s="1">
        <v>2</v>
      </c>
      <c r="T17" s="1" t="s">
        <v>13</v>
      </c>
      <c r="U17" s="1" t="s">
        <v>25</v>
      </c>
      <c r="V17" s="1" t="s">
        <v>9</v>
      </c>
      <c r="W17" s="1">
        <v>5338</v>
      </c>
      <c r="X17" s="1">
        <v>5</v>
      </c>
    </row>
    <row r="18" spans="1:24" x14ac:dyDescent="0.25">
      <c r="A18" s="1" t="s">
        <v>5</v>
      </c>
      <c r="B18" s="1" t="s">
        <v>6</v>
      </c>
      <c r="C18" s="1" t="s">
        <v>14</v>
      </c>
      <c r="D18" s="1">
        <v>5102</v>
      </c>
      <c r="E18" s="1">
        <v>3</v>
      </c>
      <c r="G18" s="1" t="s">
        <v>11</v>
      </c>
      <c r="H18" s="1" t="s">
        <v>15</v>
      </c>
      <c r="I18" s="1" t="s">
        <v>14</v>
      </c>
      <c r="J18" s="1">
        <v>4277</v>
      </c>
      <c r="K18" s="1">
        <v>2</v>
      </c>
      <c r="T18" s="1" t="s">
        <v>11</v>
      </c>
      <c r="U18" s="1" t="s">
        <v>26</v>
      </c>
      <c r="V18" s="1" t="s">
        <v>9</v>
      </c>
      <c r="W18" s="1">
        <v>5031</v>
      </c>
      <c r="X18" s="1">
        <v>2</v>
      </c>
    </row>
    <row r="19" spans="1:24" x14ac:dyDescent="0.25">
      <c r="A19" s="1" t="s">
        <v>13</v>
      </c>
      <c r="B19" s="1" t="s">
        <v>6</v>
      </c>
      <c r="C19" s="1" t="s">
        <v>7</v>
      </c>
      <c r="D19" s="1">
        <v>5024</v>
      </c>
      <c r="E19" s="1">
        <v>2</v>
      </c>
      <c r="G19" s="1" t="s">
        <v>10</v>
      </c>
      <c r="H19" s="1" t="s">
        <v>15</v>
      </c>
      <c r="I19" s="1" t="s">
        <v>7</v>
      </c>
      <c r="J19" s="1">
        <v>4636</v>
      </c>
      <c r="K19" s="1">
        <v>1</v>
      </c>
      <c r="N19" s="1" t="s">
        <v>31</v>
      </c>
      <c r="O19" s="1" t="s">
        <v>36</v>
      </c>
      <c r="T19" s="1" t="s">
        <v>10</v>
      </c>
      <c r="U19" s="1" t="s">
        <v>26</v>
      </c>
      <c r="V19" s="1" t="s">
        <v>12</v>
      </c>
      <c r="W19" s="1">
        <v>5378</v>
      </c>
      <c r="X19" s="1">
        <v>5</v>
      </c>
    </row>
    <row r="20" spans="1:24" x14ac:dyDescent="0.25">
      <c r="A20" s="1" t="s">
        <v>5</v>
      </c>
      <c r="B20" s="1" t="s">
        <v>6</v>
      </c>
      <c r="C20" s="1" t="s">
        <v>14</v>
      </c>
      <c r="D20" s="1">
        <v>4142</v>
      </c>
      <c r="E20" s="1">
        <v>2</v>
      </c>
      <c r="G20" s="1" t="s">
        <v>8</v>
      </c>
      <c r="H20" s="1" t="s">
        <v>15</v>
      </c>
      <c r="I20" s="1" t="s">
        <v>14</v>
      </c>
      <c r="J20" s="1">
        <v>4099</v>
      </c>
      <c r="K20" s="1">
        <v>5</v>
      </c>
      <c r="N20" s="1" t="s">
        <v>21</v>
      </c>
      <c r="O20" s="1">
        <f>AVERAGE(W1:W201)</f>
        <v>4698.3850000000002</v>
      </c>
      <c r="T20" s="1" t="s">
        <v>11</v>
      </c>
      <c r="U20" s="1" t="s">
        <v>26</v>
      </c>
      <c r="V20" s="1" t="s">
        <v>14</v>
      </c>
      <c r="W20" s="1">
        <v>5453</v>
      </c>
      <c r="X20" s="1">
        <v>3</v>
      </c>
    </row>
    <row r="21" spans="1:24" x14ac:dyDescent="0.25">
      <c r="A21" s="1" t="s">
        <v>8</v>
      </c>
      <c r="B21" s="1" t="s">
        <v>6</v>
      </c>
      <c r="C21" s="1" t="s">
        <v>14</v>
      </c>
      <c r="D21" s="1">
        <v>5229</v>
      </c>
      <c r="E21" s="1">
        <v>4</v>
      </c>
      <c r="G21" s="1" t="s">
        <v>10</v>
      </c>
      <c r="H21" s="1" t="s">
        <v>15</v>
      </c>
      <c r="I21" s="1" t="s">
        <v>12</v>
      </c>
      <c r="J21" s="1">
        <v>4626</v>
      </c>
      <c r="K21" s="1">
        <v>3</v>
      </c>
      <c r="N21" s="1" t="s">
        <v>37</v>
      </c>
      <c r="O21" s="1">
        <f>_xlfn.STDEV.S(W1:W201)</f>
        <v>442.31421648589094</v>
      </c>
      <c r="T21" s="1" t="s">
        <v>13</v>
      </c>
      <c r="U21" s="1" t="s">
        <v>26</v>
      </c>
      <c r="V21" s="1" t="s">
        <v>7</v>
      </c>
      <c r="W21" s="1">
        <v>4234</v>
      </c>
      <c r="X21" s="1">
        <v>5</v>
      </c>
    </row>
    <row r="22" spans="1:24" x14ac:dyDescent="0.25">
      <c r="A22" s="1" t="s">
        <v>11</v>
      </c>
      <c r="B22" s="1" t="s">
        <v>6</v>
      </c>
      <c r="C22" s="1" t="s">
        <v>7</v>
      </c>
      <c r="D22" s="1">
        <v>4357</v>
      </c>
      <c r="E22" s="1">
        <v>3</v>
      </c>
      <c r="G22" s="1" t="s">
        <v>13</v>
      </c>
      <c r="H22" s="1" t="s">
        <v>15</v>
      </c>
      <c r="I22" s="1" t="s">
        <v>9</v>
      </c>
      <c r="J22" s="1">
        <v>4723</v>
      </c>
      <c r="K22" s="1">
        <v>5</v>
      </c>
      <c r="N22" s="1" t="s">
        <v>32</v>
      </c>
      <c r="O22" s="1">
        <v>201</v>
      </c>
      <c r="T22" s="1" t="s">
        <v>5</v>
      </c>
      <c r="U22" s="1" t="s">
        <v>26</v>
      </c>
      <c r="V22" s="1" t="s">
        <v>9</v>
      </c>
      <c r="W22" s="1">
        <v>4087</v>
      </c>
      <c r="X22" s="1">
        <v>2</v>
      </c>
    </row>
    <row r="23" spans="1:24" x14ac:dyDescent="0.25">
      <c r="A23" s="1" t="s">
        <v>8</v>
      </c>
      <c r="B23" s="1" t="s">
        <v>6</v>
      </c>
      <c r="C23" s="1" t="s">
        <v>14</v>
      </c>
      <c r="D23" s="1">
        <v>4306</v>
      </c>
      <c r="E23" s="1">
        <v>4</v>
      </c>
      <c r="G23" s="1" t="s">
        <v>5</v>
      </c>
      <c r="H23" s="1" t="s">
        <v>15</v>
      </c>
      <c r="I23" s="1" t="s">
        <v>14</v>
      </c>
      <c r="J23" s="1">
        <v>5162</v>
      </c>
      <c r="K23" s="1">
        <v>5</v>
      </c>
      <c r="N23" s="1" t="s">
        <v>38</v>
      </c>
      <c r="O23" s="1">
        <f>_xlfn.T.INV.2T(0.05,COUNT(W1:W201))</f>
        <v>1.9718962236339095</v>
      </c>
      <c r="T23" s="1" t="s">
        <v>8</v>
      </c>
      <c r="U23" s="1" t="s">
        <v>26</v>
      </c>
      <c r="V23" s="1" t="s">
        <v>14</v>
      </c>
      <c r="W23" s="1">
        <v>5044</v>
      </c>
      <c r="X23" s="1">
        <v>3</v>
      </c>
    </row>
    <row r="24" spans="1:24" x14ac:dyDescent="0.25">
      <c r="A24" s="1" t="s">
        <v>11</v>
      </c>
      <c r="B24" s="1" t="s">
        <v>6</v>
      </c>
      <c r="C24" s="1" t="s">
        <v>12</v>
      </c>
      <c r="D24" s="1">
        <v>4770</v>
      </c>
      <c r="E24" s="1">
        <v>1</v>
      </c>
      <c r="G24" s="1" t="s">
        <v>8</v>
      </c>
      <c r="H24" s="1" t="s">
        <v>15</v>
      </c>
      <c r="I24" s="1" t="s">
        <v>9</v>
      </c>
      <c r="J24" s="1">
        <v>4462</v>
      </c>
      <c r="K24" s="1">
        <v>5</v>
      </c>
      <c r="N24" s="1" t="s">
        <v>33</v>
      </c>
      <c r="O24" s="1">
        <f>_xlfn.STDEV.S(W1:W201)/SQRT(COUNT(W1:W201))</f>
        <v>31.276338189238807</v>
      </c>
      <c r="T24" s="1" t="s">
        <v>8</v>
      </c>
      <c r="U24" s="1" t="s">
        <v>25</v>
      </c>
      <c r="V24" s="1" t="s">
        <v>12</v>
      </c>
      <c r="W24" s="1">
        <v>5466</v>
      </c>
      <c r="X24" s="1">
        <v>4</v>
      </c>
    </row>
    <row r="25" spans="1:24" x14ac:dyDescent="0.25">
      <c r="A25" s="1" t="s">
        <v>10</v>
      </c>
      <c r="B25" s="1" t="s">
        <v>6</v>
      </c>
      <c r="C25" s="1" t="s">
        <v>12</v>
      </c>
      <c r="D25" s="1">
        <v>4582</v>
      </c>
      <c r="E25" s="1">
        <v>5</v>
      </c>
      <c r="G25" s="1" t="s">
        <v>5</v>
      </c>
      <c r="H25" s="1" t="s">
        <v>15</v>
      </c>
      <c r="I25" s="1" t="s">
        <v>9</v>
      </c>
      <c r="J25" s="1">
        <v>5148</v>
      </c>
      <c r="K25" s="1">
        <v>5</v>
      </c>
      <c r="N25" s="1" t="s">
        <v>35</v>
      </c>
      <c r="O25" s="1">
        <f>O20-(O23-1)*O24</f>
        <v>4667.9876450247821</v>
      </c>
      <c r="T25" s="1" t="s">
        <v>5</v>
      </c>
      <c r="U25" s="1" t="s">
        <v>6</v>
      </c>
      <c r="V25" s="1" t="s">
        <v>9</v>
      </c>
      <c r="W25" s="1">
        <v>5147</v>
      </c>
      <c r="X25" s="1">
        <v>5</v>
      </c>
    </row>
    <row r="26" spans="1:24" x14ac:dyDescent="0.25">
      <c r="A26" s="1" t="s">
        <v>11</v>
      </c>
      <c r="B26" s="1" t="s">
        <v>6</v>
      </c>
      <c r="C26" s="1" t="s">
        <v>7</v>
      </c>
      <c r="D26" s="1">
        <v>4020</v>
      </c>
      <c r="E26" s="1">
        <v>4</v>
      </c>
      <c r="G26" s="1" t="s">
        <v>13</v>
      </c>
      <c r="H26" s="1" t="s">
        <v>15</v>
      </c>
      <c r="I26" s="1" t="s">
        <v>9</v>
      </c>
      <c r="J26" s="1">
        <v>4198</v>
      </c>
      <c r="K26" s="1">
        <v>2</v>
      </c>
      <c r="N26" s="1" t="s">
        <v>34</v>
      </c>
      <c r="O26" s="1">
        <f>O20+(O23-1)*O24</f>
        <v>4728.7823549752184</v>
      </c>
      <c r="T26" s="1" t="s">
        <v>5</v>
      </c>
      <c r="U26" s="1" t="s">
        <v>26</v>
      </c>
      <c r="V26" s="1" t="s">
        <v>12</v>
      </c>
      <c r="W26" s="1">
        <v>5362</v>
      </c>
      <c r="X26" s="1">
        <v>5</v>
      </c>
    </row>
    <row r="27" spans="1:24" x14ac:dyDescent="0.25">
      <c r="A27" s="1" t="s">
        <v>8</v>
      </c>
      <c r="B27" s="1" t="s">
        <v>6</v>
      </c>
      <c r="C27" s="1" t="s">
        <v>14</v>
      </c>
      <c r="D27" s="1">
        <v>5431</v>
      </c>
      <c r="E27" s="1">
        <v>1</v>
      </c>
      <c r="G27" s="1" t="s">
        <v>5</v>
      </c>
      <c r="H27" s="1" t="s">
        <v>15</v>
      </c>
      <c r="I27" s="1" t="s">
        <v>9</v>
      </c>
      <c r="J27" s="1">
        <v>4350</v>
      </c>
      <c r="K27" s="1">
        <v>3</v>
      </c>
      <c r="T27" s="1" t="s">
        <v>10</v>
      </c>
      <c r="U27" s="1" t="s">
        <v>6</v>
      </c>
      <c r="V27" s="1" t="s">
        <v>7</v>
      </c>
      <c r="W27" s="1">
        <v>4040</v>
      </c>
      <c r="X27" s="1">
        <v>3</v>
      </c>
    </row>
    <row r="28" spans="1:24" x14ac:dyDescent="0.25">
      <c r="A28" s="1" t="s">
        <v>8</v>
      </c>
      <c r="B28" s="1" t="s">
        <v>6</v>
      </c>
      <c r="C28" s="1" t="s">
        <v>7</v>
      </c>
      <c r="D28" s="1">
        <v>4753</v>
      </c>
      <c r="E28" s="1">
        <v>3</v>
      </c>
      <c r="G28" s="1" t="s">
        <v>5</v>
      </c>
      <c r="H28" s="1" t="s">
        <v>15</v>
      </c>
      <c r="I28" s="1" t="s">
        <v>9</v>
      </c>
      <c r="J28" s="1">
        <v>4466</v>
      </c>
      <c r="K28" s="1">
        <v>5</v>
      </c>
      <c r="T28" s="1" t="s">
        <v>8</v>
      </c>
      <c r="U28" s="1" t="s">
        <v>26</v>
      </c>
      <c r="V28" s="1" t="s">
        <v>12</v>
      </c>
      <c r="W28" s="1">
        <v>4808</v>
      </c>
      <c r="X28" s="1">
        <v>2</v>
      </c>
    </row>
    <row r="29" spans="1:24" x14ac:dyDescent="0.25">
      <c r="A29" s="1" t="s">
        <v>10</v>
      </c>
      <c r="B29" s="1" t="s">
        <v>6</v>
      </c>
      <c r="C29" s="1" t="s">
        <v>12</v>
      </c>
      <c r="D29" s="1">
        <v>5360</v>
      </c>
      <c r="E29" s="1">
        <v>3</v>
      </c>
      <c r="G29" s="1" t="s">
        <v>10</v>
      </c>
      <c r="H29" s="1" t="s">
        <v>15</v>
      </c>
      <c r="I29" s="1" t="s">
        <v>7</v>
      </c>
      <c r="J29" s="1">
        <v>5114</v>
      </c>
      <c r="K29" s="1">
        <v>2</v>
      </c>
      <c r="N29" s="5" t="s">
        <v>44</v>
      </c>
      <c r="T29" s="1" t="s">
        <v>11</v>
      </c>
      <c r="U29" s="1" t="s">
        <v>6</v>
      </c>
      <c r="V29" s="1" t="s">
        <v>12</v>
      </c>
      <c r="W29" s="1">
        <v>4267</v>
      </c>
      <c r="X29" s="1">
        <v>1</v>
      </c>
    </row>
    <row r="30" spans="1:24" ht="45" x14ac:dyDescent="0.25">
      <c r="A30" s="1" t="s">
        <v>8</v>
      </c>
      <c r="B30" s="1" t="s">
        <v>6</v>
      </c>
      <c r="C30" s="1" t="s">
        <v>9</v>
      </c>
      <c r="D30" s="1">
        <v>5240</v>
      </c>
      <c r="E30" s="1">
        <v>3</v>
      </c>
      <c r="G30" s="1" t="s">
        <v>5</v>
      </c>
      <c r="H30" s="1" t="s">
        <v>15</v>
      </c>
      <c r="I30" s="1" t="s">
        <v>14</v>
      </c>
      <c r="J30" s="1">
        <v>5367</v>
      </c>
      <c r="K30" s="1">
        <v>2</v>
      </c>
      <c r="N30" s="6" t="s">
        <v>39</v>
      </c>
      <c r="T30" s="1" t="s">
        <v>10</v>
      </c>
      <c r="U30" s="1" t="s">
        <v>25</v>
      </c>
      <c r="V30" s="1" t="s">
        <v>7</v>
      </c>
      <c r="W30" s="1">
        <v>5275</v>
      </c>
      <c r="X30" s="1">
        <v>4</v>
      </c>
    </row>
    <row r="31" spans="1:24" ht="30" x14ac:dyDescent="0.25">
      <c r="A31" s="1" t="s">
        <v>8</v>
      </c>
      <c r="B31" s="1" t="s">
        <v>6</v>
      </c>
      <c r="C31" s="1" t="s">
        <v>9</v>
      </c>
      <c r="D31" s="1">
        <v>4135</v>
      </c>
      <c r="E31" s="1">
        <v>4</v>
      </c>
      <c r="G31" s="1" t="s">
        <v>11</v>
      </c>
      <c r="H31" s="1" t="s">
        <v>15</v>
      </c>
      <c r="I31" s="1" t="s">
        <v>12</v>
      </c>
      <c r="J31" s="1">
        <v>4315</v>
      </c>
      <c r="K31" s="1">
        <v>4</v>
      </c>
      <c r="N31" s="7" t="s">
        <v>40</v>
      </c>
      <c r="T31" s="1" t="s">
        <v>10</v>
      </c>
      <c r="U31" s="1" t="s">
        <v>15</v>
      </c>
      <c r="V31" s="1" t="s">
        <v>7</v>
      </c>
      <c r="W31" s="1">
        <v>5072</v>
      </c>
      <c r="X31" s="1">
        <v>3</v>
      </c>
    </row>
    <row r="32" spans="1:24" ht="45" x14ac:dyDescent="0.25">
      <c r="A32" s="1" t="s">
        <v>5</v>
      </c>
      <c r="B32" s="1" t="s">
        <v>6</v>
      </c>
      <c r="C32" s="1" t="s">
        <v>12</v>
      </c>
      <c r="D32" s="1">
        <v>5279</v>
      </c>
      <c r="E32" s="1">
        <v>1</v>
      </c>
      <c r="G32" s="1" t="s">
        <v>5</v>
      </c>
      <c r="H32" s="1" t="s">
        <v>15</v>
      </c>
      <c r="I32" s="1" t="s">
        <v>9</v>
      </c>
      <c r="J32" s="1">
        <v>4641</v>
      </c>
      <c r="K32" s="1">
        <v>5</v>
      </c>
      <c r="N32" s="4" t="s">
        <v>41</v>
      </c>
      <c r="T32" s="1" t="s">
        <v>13</v>
      </c>
      <c r="U32" s="1" t="s">
        <v>15</v>
      </c>
      <c r="V32" s="1" t="s">
        <v>7</v>
      </c>
      <c r="W32" s="1">
        <v>5065</v>
      </c>
      <c r="X32" s="1">
        <v>3</v>
      </c>
    </row>
    <row r="33" spans="1:24" ht="45" x14ac:dyDescent="0.25">
      <c r="A33" s="1" t="s">
        <v>8</v>
      </c>
      <c r="B33" s="1" t="s">
        <v>6</v>
      </c>
      <c r="C33" s="1" t="s">
        <v>14</v>
      </c>
      <c r="D33" s="1">
        <v>5428</v>
      </c>
      <c r="E33" s="1">
        <v>3</v>
      </c>
      <c r="G33" s="1" t="s">
        <v>13</v>
      </c>
      <c r="H33" s="1" t="s">
        <v>15</v>
      </c>
      <c r="I33" s="1" t="s">
        <v>12</v>
      </c>
      <c r="J33" s="1">
        <v>4001</v>
      </c>
      <c r="K33" s="1">
        <v>1</v>
      </c>
      <c r="N33" s="4" t="s">
        <v>42</v>
      </c>
      <c r="T33" s="1" t="s">
        <v>11</v>
      </c>
      <c r="U33" s="1" t="s">
        <v>25</v>
      </c>
      <c r="V33" s="1" t="s">
        <v>7</v>
      </c>
      <c r="W33" s="1">
        <v>5061</v>
      </c>
      <c r="X33" s="1">
        <v>2</v>
      </c>
    </row>
    <row r="34" spans="1:24" ht="45" x14ac:dyDescent="0.25">
      <c r="A34" s="1" t="s">
        <v>11</v>
      </c>
      <c r="B34" s="1" t="s">
        <v>6</v>
      </c>
      <c r="C34" s="1" t="s">
        <v>12</v>
      </c>
      <c r="D34" s="1">
        <v>4261</v>
      </c>
      <c r="E34" s="1">
        <v>2</v>
      </c>
      <c r="G34" s="1" t="s">
        <v>10</v>
      </c>
      <c r="H34" s="1" t="s">
        <v>15</v>
      </c>
      <c r="I34" s="1" t="s">
        <v>14</v>
      </c>
      <c r="J34" s="1">
        <v>4799</v>
      </c>
      <c r="K34" s="1">
        <v>3</v>
      </c>
      <c r="N34" s="4" t="s">
        <v>43</v>
      </c>
      <c r="T34" s="1" t="s">
        <v>11</v>
      </c>
      <c r="U34" s="1" t="s">
        <v>26</v>
      </c>
      <c r="V34" s="1" t="s">
        <v>7</v>
      </c>
      <c r="W34" s="1">
        <v>4538</v>
      </c>
      <c r="X34" s="1">
        <v>2</v>
      </c>
    </row>
    <row r="35" spans="1:24" x14ac:dyDescent="0.25">
      <c r="A35" s="1" t="s">
        <v>13</v>
      </c>
      <c r="B35" s="1" t="s">
        <v>6</v>
      </c>
      <c r="C35" s="1" t="s">
        <v>7</v>
      </c>
      <c r="D35" s="1">
        <v>4414</v>
      </c>
      <c r="E35" s="1">
        <v>1</v>
      </c>
      <c r="G35" s="1" t="s">
        <v>10</v>
      </c>
      <c r="H35" s="1" t="s">
        <v>15</v>
      </c>
      <c r="I35" s="1" t="s">
        <v>14</v>
      </c>
      <c r="J35" s="1">
        <v>4242</v>
      </c>
      <c r="K35" s="1">
        <v>1</v>
      </c>
      <c r="T35" s="1" t="s">
        <v>13</v>
      </c>
      <c r="U35" s="1" t="s">
        <v>25</v>
      </c>
      <c r="V35" s="1" t="s">
        <v>7</v>
      </c>
      <c r="W35" s="1">
        <v>4610</v>
      </c>
      <c r="X35" s="1">
        <v>2</v>
      </c>
    </row>
    <row r="36" spans="1:24" x14ac:dyDescent="0.25">
      <c r="A36" s="1" t="s">
        <v>8</v>
      </c>
      <c r="B36" s="1" t="s">
        <v>6</v>
      </c>
      <c r="C36" s="1" t="s">
        <v>12</v>
      </c>
      <c r="D36" s="1">
        <v>4009</v>
      </c>
      <c r="E36" s="1">
        <v>1</v>
      </c>
      <c r="G36" s="1" t="s">
        <v>5</v>
      </c>
      <c r="H36" s="1" t="s">
        <v>15</v>
      </c>
      <c r="I36" s="1" t="s">
        <v>12</v>
      </c>
      <c r="J36" s="1">
        <v>4810</v>
      </c>
      <c r="K36" s="1">
        <v>2</v>
      </c>
      <c r="T36" s="1" t="s">
        <v>13</v>
      </c>
      <c r="U36" s="1" t="s">
        <v>25</v>
      </c>
      <c r="V36" s="1" t="s">
        <v>14</v>
      </c>
      <c r="W36" s="1">
        <v>4319</v>
      </c>
      <c r="X36" s="1">
        <v>4</v>
      </c>
    </row>
    <row r="37" spans="1:24" x14ac:dyDescent="0.25">
      <c r="A37" s="1" t="s">
        <v>11</v>
      </c>
      <c r="B37" s="1" t="s">
        <v>6</v>
      </c>
      <c r="C37" s="1" t="s">
        <v>7</v>
      </c>
      <c r="D37" s="1">
        <v>5085</v>
      </c>
      <c r="E37" s="1">
        <v>3</v>
      </c>
      <c r="G37" s="1" t="s">
        <v>8</v>
      </c>
      <c r="H37" s="1" t="s">
        <v>15</v>
      </c>
      <c r="I37" s="1" t="s">
        <v>7</v>
      </c>
      <c r="J37" s="1">
        <v>4192</v>
      </c>
      <c r="K37" s="1">
        <v>3</v>
      </c>
      <c r="T37" s="1" t="s">
        <v>8</v>
      </c>
      <c r="U37" s="1" t="s">
        <v>26</v>
      </c>
      <c r="V37" s="1" t="s">
        <v>14</v>
      </c>
      <c r="W37" s="1">
        <v>5263</v>
      </c>
      <c r="X37" s="1">
        <v>3</v>
      </c>
    </row>
    <row r="38" spans="1:24" x14ac:dyDescent="0.25">
      <c r="A38" s="1" t="s">
        <v>13</v>
      </c>
      <c r="B38" s="1" t="s">
        <v>6</v>
      </c>
      <c r="C38" s="1" t="s">
        <v>9</v>
      </c>
      <c r="D38" s="1">
        <v>4021</v>
      </c>
      <c r="E38" s="1">
        <v>2</v>
      </c>
      <c r="G38" s="1" t="s">
        <v>8</v>
      </c>
      <c r="H38" s="1" t="s">
        <v>15</v>
      </c>
      <c r="I38" s="1" t="s">
        <v>9</v>
      </c>
      <c r="J38" s="1">
        <v>5142</v>
      </c>
      <c r="K38" s="1">
        <v>5</v>
      </c>
      <c r="T38" s="1" t="s">
        <v>11</v>
      </c>
      <c r="U38" s="1" t="s">
        <v>26</v>
      </c>
      <c r="V38" s="1" t="s">
        <v>14</v>
      </c>
      <c r="W38" s="1">
        <v>4962</v>
      </c>
      <c r="X38" s="1">
        <v>2</v>
      </c>
    </row>
    <row r="39" spans="1:24" x14ac:dyDescent="0.25">
      <c r="A39" s="1" t="s">
        <v>13</v>
      </c>
      <c r="B39" s="1" t="s">
        <v>6</v>
      </c>
      <c r="C39" s="1" t="s">
        <v>9</v>
      </c>
      <c r="D39" s="1">
        <v>4984</v>
      </c>
      <c r="E39" s="1">
        <v>5</v>
      </c>
      <c r="G39" s="1" t="s">
        <v>5</v>
      </c>
      <c r="H39" s="1" t="s">
        <v>15</v>
      </c>
      <c r="I39" s="1" t="s">
        <v>7</v>
      </c>
      <c r="J39" s="1">
        <v>4813</v>
      </c>
      <c r="K39" s="1">
        <v>4</v>
      </c>
      <c r="T39" s="1" t="s">
        <v>11</v>
      </c>
      <c r="U39" s="1" t="s">
        <v>15</v>
      </c>
      <c r="V39" s="1" t="s">
        <v>9</v>
      </c>
      <c r="W39" s="1">
        <v>5473</v>
      </c>
      <c r="X39" s="1">
        <v>1</v>
      </c>
    </row>
    <row r="40" spans="1:24" x14ac:dyDescent="0.25">
      <c r="A40" s="1" t="s">
        <v>11</v>
      </c>
      <c r="B40" s="1" t="s">
        <v>6</v>
      </c>
      <c r="C40" s="1" t="s">
        <v>7</v>
      </c>
      <c r="D40" s="1">
        <v>4180</v>
      </c>
      <c r="E40" s="1">
        <v>3</v>
      </c>
      <c r="G40" s="1" t="s">
        <v>8</v>
      </c>
      <c r="H40" s="1" t="s">
        <v>15</v>
      </c>
      <c r="I40" s="1" t="s">
        <v>12</v>
      </c>
      <c r="J40" s="1">
        <v>4257</v>
      </c>
      <c r="K40" s="1">
        <v>2</v>
      </c>
      <c r="T40" s="1" t="s">
        <v>10</v>
      </c>
      <c r="U40" s="1" t="s">
        <v>15</v>
      </c>
      <c r="V40" s="1" t="s">
        <v>7</v>
      </c>
      <c r="W40" s="1">
        <v>4708</v>
      </c>
      <c r="X40" s="1">
        <v>5</v>
      </c>
    </row>
    <row r="41" spans="1:24" x14ac:dyDescent="0.25">
      <c r="A41" s="1" t="s">
        <v>8</v>
      </c>
      <c r="B41" s="1" t="s">
        <v>6</v>
      </c>
      <c r="C41" s="1" t="s">
        <v>9</v>
      </c>
      <c r="D41" s="1">
        <v>4194</v>
      </c>
      <c r="E41" s="1">
        <v>5</v>
      </c>
      <c r="G41" s="1" t="s">
        <v>8</v>
      </c>
      <c r="H41" s="1" t="s">
        <v>15</v>
      </c>
      <c r="I41" s="1" t="s">
        <v>7</v>
      </c>
      <c r="J41" s="1">
        <v>4820</v>
      </c>
      <c r="K41" s="1">
        <v>5</v>
      </c>
      <c r="T41" s="1" t="s">
        <v>11</v>
      </c>
      <c r="U41" s="1" t="s">
        <v>25</v>
      </c>
      <c r="V41" s="1" t="s">
        <v>12</v>
      </c>
      <c r="W41" s="1">
        <v>5006</v>
      </c>
      <c r="X41" s="1">
        <v>5</v>
      </c>
    </row>
    <row r="42" spans="1:24" x14ac:dyDescent="0.25">
      <c r="A42" s="1" t="s">
        <v>8</v>
      </c>
      <c r="B42" s="1" t="s">
        <v>6</v>
      </c>
      <c r="C42" s="1" t="s">
        <v>12</v>
      </c>
      <c r="D42" s="1">
        <v>5402</v>
      </c>
      <c r="E42" s="1">
        <v>2</v>
      </c>
      <c r="G42" s="1" t="s">
        <v>13</v>
      </c>
      <c r="H42" s="1" t="s">
        <v>15</v>
      </c>
      <c r="I42" s="1" t="s">
        <v>12</v>
      </c>
      <c r="J42" s="1">
        <v>5200</v>
      </c>
      <c r="K42" s="1">
        <v>3</v>
      </c>
      <c r="T42" s="1" t="s">
        <v>5</v>
      </c>
      <c r="U42" s="1" t="s">
        <v>25</v>
      </c>
      <c r="V42" s="1" t="s">
        <v>12</v>
      </c>
      <c r="W42" s="1">
        <v>4056</v>
      </c>
      <c r="X42" s="1">
        <v>5</v>
      </c>
    </row>
    <row r="43" spans="1:24" x14ac:dyDescent="0.25">
      <c r="A43" s="1" t="s">
        <v>10</v>
      </c>
      <c r="B43" s="1" t="s">
        <v>6</v>
      </c>
      <c r="C43" s="1" t="s">
        <v>12</v>
      </c>
      <c r="D43" s="1">
        <v>4429</v>
      </c>
      <c r="E43" s="1">
        <v>1</v>
      </c>
      <c r="G43" s="1" t="s">
        <v>8</v>
      </c>
      <c r="H43" s="1" t="s">
        <v>15</v>
      </c>
      <c r="I43" s="1" t="s">
        <v>9</v>
      </c>
      <c r="J43" s="1">
        <v>4080</v>
      </c>
      <c r="K43" s="1">
        <v>4</v>
      </c>
      <c r="T43" s="1" t="s">
        <v>13</v>
      </c>
      <c r="U43" s="1" t="s">
        <v>15</v>
      </c>
      <c r="V43" s="1" t="s">
        <v>14</v>
      </c>
      <c r="W43" s="1">
        <v>5022</v>
      </c>
      <c r="X43" s="1">
        <v>1</v>
      </c>
    </row>
    <row r="44" spans="1:24" x14ac:dyDescent="0.25">
      <c r="G44" s="1" t="s">
        <v>8</v>
      </c>
      <c r="H44" s="1" t="s">
        <v>15</v>
      </c>
      <c r="I44" s="1" t="s">
        <v>9</v>
      </c>
      <c r="J44" s="1">
        <v>5371</v>
      </c>
      <c r="K44" s="1">
        <v>1</v>
      </c>
      <c r="T44" s="1" t="s">
        <v>13</v>
      </c>
      <c r="U44" s="1" t="s">
        <v>6</v>
      </c>
      <c r="V44" s="1" t="s">
        <v>7</v>
      </c>
      <c r="W44" s="1">
        <v>4107</v>
      </c>
      <c r="X44" s="1">
        <v>3</v>
      </c>
    </row>
    <row r="45" spans="1:24" x14ac:dyDescent="0.25">
      <c r="G45" s="1" t="s">
        <v>11</v>
      </c>
      <c r="H45" s="1" t="s">
        <v>15</v>
      </c>
      <c r="I45" s="1" t="s">
        <v>7</v>
      </c>
      <c r="J45" s="1">
        <v>4491</v>
      </c>
      <c r="K45" s="1">
        <v>2</v>
      </c>
      <c r="T45" s="1" t="s">
        <v>13</v>
      </c>
      <c r="U45" s="1" t="s">
        <v>26</v>
      </c>
      <c r="V45" s="1" t="s">
        <v>9</v>
      </c>
      <c r="W45" s="1">
        <v>4845</v>
      </c>
      <c r="X45" s="1">
        <v>4</v>
      </c>
    </row>
    <row r="46" spans="1:24" x14ac:dyDescent="0.25">
      <c r="G46" s="1" t="s">
        <v>13</v>
      </c>
      <c r="H46" s="1" t="s">
        <v>15</v>
      </c>
      <c r="I46" s="1" t="s">
        <v>14</v>
      </c>
      <c r="J46" s="1">
        <v>4110</v>
      </c>
      <c r="K46" s="1">
        <v>5</v>
      </c>
      <c r="T46" s="1" t="s">
        <v>11</v>
      </c>
      <c r="U46" s="1" t="s">
        <v>26</v>
      </c>
      <c r="V46" s="1" t="s">
        <v>14</v>
      </c>
      <c r="W46" s="1">
        <v>5106</v>
      </c>
      <c r="X46" s="1">
        <v>4</v>
      </c>
    </row>
    <row r="47" spans="1:24" x14ac:dyDescent="0.25">
      <c r="G47" s="1" t="s">
        <v>10</v>
      </c>
      <c r="H47" s="1" t="s">
        <v>15</v>
      </c>
      <c r="I47" s="1" t="s">
        <v>12</v>
      </c>
      <c r="J47" s="1">
        <v>4802</v>
      </c>
      <c r="K47" s="1">
        <v>1</v>
      </c>
      <c r="T47" s="1" t="s">
        <v>13</v>
      </c>
      <c r="U47" s="1" t="s">
        <v>26</v>
      </c>
      <c r="V47" s="1" t="s">
        <v>14</v>
      </c>
      <c r="W47" s="1">
        <v>4286</v>
      </c>
      <c r="X47" s="1">
        <v>3</v>
      </c>
    </row>
    <row r="48" spans="1:24" x14ac:dyDescent="0.25">
      <c r="G48" s="1" t="s">
        <v>11</v>
      </c>
      <c r="H48" s="1" t="s">
        <v>15</v>
      </c>
      <c r="I48" s="1" t="s">
        <v>7</v>
      </c>
      <c r="J48" s="1">
        <v>5327</v>
      </c>
      <c r="K48" s="1">
        <v>5</v>
      </c>
      <c r="T48" s="1" t="s">
        <v>10</v>
      </c>
      <c r="U48" s="1" t="s">
        <v>15</v>
      </c>
      <c r="V48" s="1" t="s">
        <v>14</v>
      </c>
      <c r="W48" s="1">
        <v>5430</v>
      </c>
      <c r="X48" s="1">
        <v>5</v>
      </c>
    </row>
    <row r="49" spans="7:24" x14ac:dyDescent="0.25">
      <c r="G49" s="1" t="s">
        <v>10</v>
      </c>
      <c r="H49" s="1" t="s">
        <v>15</v>
      </c>
      <c r="I49" s="1" t="s">
        <v>12</v>
      </c>
      <c r="J49" s="1">
        <v>4387</v>
      </c>
      <c r="K49" s="1">
        <v>4</v>
      </c>
      <c r="T49" s="1" t="s">
        <v>5</v>
      </c>
      <c r="U49" s="1" t="s">
        <v>6</v>
      </c>
      <c r="V49" s="1" t="s">
        <v>7</v>
      </c>
      <c r="W49" s="1">
        <v>4903</v>
      </c>
      <c r="X49" s="1">
        <v>3</v>
      </c>
    </row>
    <row r="50" spans="7:24" x14ac:dyDescent="0.25">
      <c r="G50" s="1" t="s">
        <v>8</v>
      </c>
      <c r="H50" s="1" t="s">
        <v>15</v>
      </c>
      <c r="I50" s="1" t="s">
        <v>7</v>
      </c>
      <c r="J50" s="1">
        <v>4993</v>
      </c>
      <c r="K50" s="1">
        <v>1</v>
      </c>
      <c r="T50" s="1" t="s">
        <v>11</v>
      </c>
      <c r="U50" s="1" t="s">
        <v>25</v>
      </c>
      <c r="V50" s="1" t="s">
        <v>7</v>
      </c>
      <c r="W50" s="1">
        <v>4823</v>
      </c>
      <c r="X50" s="1">
        <v>4</v>
      </c>
    </row>
    <row r="51" spans="7:24" x14ac:dyDescent="0.25">
      <c r="G51" s="1" t="s">
        <v>13</v>
      </c>
      <c r="H51" s="1" t="s">
        <v>15</v>
      </c>
      <c r="I51" s="1" t="s">
        <v>14</v>
      </c>
      <c r="J51" s="1">
        <v>4158</v>
      </c>
      <c r="K51" s="1">
        <v>5</v>
      </c>
      <c r="T51" s="1" t="s">
        <v>11</v>
      </c>
      <c r="U51" s="1" t="s">
        <v>26</v>
      </c>
      <c r="V51" s="1" t="s">
        <v>14</v>
      </c>
      <c r="W51" s="1">
        <v>4253</v>
      </c>
      <c r="X51" s="1">
        <v>2</v>
      </c>
    </row>
    <row r="52" spans="7:24" x14ac:dyDescent="0.25">
      <c r="G52" s="1" t="s">
        <v>13</v>
      </c>
      <c r="H52" s="1" t="s">
        <v>15</v>
      </c>
      <c r="I52" s="1" t="s">
        <v>12</v>
      </c>
      <c r="J52" s="1">
        <v>4459</v>
      </c>
      <c r="K52" s="1">
        <v>3</v>
      </c>
      <c r="T52" s="1" t="s">
        <v>10</v>
      </c>
      <c r="U52" s="1" t="s">
        <v>26</v>
      </c>
      <c r="V52" s="1" t="s">
        <v>7</v>
      </c>
      <c r="W52" s="1">
        <v>4236</v>
      </c>
      <c r="X52" s="1">
        <v>3</v>
      </c>
    </row>
    <row r="53" spans="7:24" x14ac:dyDescent="0.25">
      <c r="G53" s="1" t="s">
        <v>13</v>
      </c>
      <c r="H53" s="1" t="s">
        <v>15</v>
      </c>
      <c r="I53" s="1" t="s">
        <v>14</v>
      </c>
      <c r="J53" s="1">
        <v>4083</v>
      </c>
      <c r="K53" s="1">
        <v>5</v>
      </c>
      <c r="T53" s="1" t="s">
        <v>11</v>
      </c>
      <c r="U53" s="1" t="s">
        <v>15</v>
      </c>
      <c r="V53" s="1" t="s">
        <v>7</v>
      </c>
      <c r="W53" s="1">
        <v>5341</v>
      </c>
      <c r="X53" s="1">
        <v>4</v>
      </c>
    </row>
    <row r="54" spans="7:24" x14ac:dyDescent="0.25">
      <c r="G54" s="1" t="s">
        <v>8</v>
      </c>
      <c r="H54" s="1" t="s">
        <v>15</v>
      </c>
      <c r="I54" s="1" t="s">
        <v>12</v>
      </c>
      <c r="J54" s="1">
        <v>4636</v>
      </c>
      <c r="K54" s="1">
        <v>2</v>
      </c>
      <c r="T54" s="1" t="s">
        <v>11</v>
      </c>
      <c r="U54" s="1" t="s">
        <v>6</v>
      </c>
      <c r="V54" s="1" t="s">
        <v>9</v>
      </c>
      <c r="W54" s="1">
        <v>4362</v>
      </c>
      <c r="X54" s="1">
        <v>3</v>
      </c>
    </row>
    <row r="55" spans="7:24" x14ac:dyDescent="0.25">
      <c r="T55" s="1" t="s">
        <v>8</v>
      </c>
      <c r="U55" s="1" t="s">
        <v>26</v>
      </c>
      <c r="V55" s="1" t="s">
        <v>12</v>
      </c>
      <c r="W55" s="1">
        <v>4189</v>
      </c>
      <c r="X55" s="1">
        <v>5</v>
      </c>
    </row>
    <row r="56" spans="7:24" x14ac:dyDescent="0.25">
      <c r="T56" s="1" t="s">
        <v>11</v>
      </c>
      <c r="U56" s="1" t="s">
        <v>26</v>
      </c>
      <c r="V56" s="1" t="s">
        <v>7</v>
      </c>
      <c r="W56" s="1">
        <v>4691</v>
      </c>
      <c r="X56" s="1">
        <v>3</v>
      </c>
    </row>
    <row r="57" spans="7:24" x14ac:dyDescent="0.25">
      <c r="T57" s="1" t="s">
        <v>11</v>
      </c>
      <c r="U57" s="1" t="s">
        <v>15</v>
      </c>
      <c r="V57" s="1" t="s">
        <v>9</v>
      </c>
      <c r="W57" s="1">
        <v>5398</v>
      </c>
      <c r="X57" s="1">
        <v>3</v>
      </c>
    </row>
    <row r="58" spans="7:24" x14ac:dyDescent="0.25">
      <c r="T58" s="1" t="s">
        <v>8</v>
      </c>
      <c r="U58" s="1" t="s">
        <v>6</v>
      </c>
      <c r="V58" s="1" t="s">
        <v>12</v>
      </c>
      <c r="W58" s="1">
        <v>4058</v>
      </c>
      <c r="X58" s="1">
        <v>4</v>
      </c>
    </row>
    <row r="59" spans="7:24" x14ac:dyDescent="0.25">
      <c r="T59" s="1" t="s">
        <v>13</v>
      </c>
      <c r="U59" s="1" t="s">
        <v>15</v>
      </c>
      <c r="V59" s="1" t="s">
        <v>9</v>
      </c>
      <c r="W59" s="1">
        <v>4790</v>
      </c>
      <c r="X59" s="1">
        <v>2</v>
      </c>
    </row>
    <row r="60" spans="7:24" x14ac:dyDescent="0.25">
      <c r="T60" s="1" t="s">
        <v>8</v>
      </c>
      <c r="U60" s="1" t="s">
        <v>15</v>
      </c>
      <c r="V60" s="1" t="s">
        <v>9</v>
      </c>
      <c r="W60" s="1">
        <v>4652</v>
      </c>
      <c r="X60" s="1">
        <v>4</v>
      </c>
    </row>
    <row r="61" spans="7:24" x14ac:dyDescent="0.25">
      <c r="T61" s="1" t="s">
        <v>10</v>
      </c>
      <c r="U61" s="1" t="s">
        <v>26</v>
      </c>
      <c r="V61" s="1" t="s">
        <v>9</v>
      </c>
      <c r="W61" s="1">
        <v>4011</v>
      </c>
      <c r="X61" s="1">
        <v>5</v>
      </c>
    </row>
    <row r="62" spans="7:24" x14ac:dyDescent="0.25">
      <c r="T62" s="1" t="s">
        <v>8</v>
      </c>
      <c r="U62" s="1" t="s">
        <v>6</v>
      </c>
      <c r="V62" s="1" t="s">
        <v>9</v>
      </c>
      <c r="W62" s="1">
        <v>4795</v>
      </c>
      <c r="X62" s="1">
        <v>1</v>
      </c>
    </row>
    <row r="63" spans="7:24" x14ac:dyDescent="0.25">
      <c r="T63" s="1" t="s">
        <v>10</v>
      </c>
      <c r="U63" s="1" t="s">
        <v>25</v>
      </c>
      <c r="V63" s="1" t="s">
        <v>12</v>
      </c>
      <c r="W63" s="1">
        <v>4321</v>
      </c>
      <c r="X63" s="1">
        <v>2</v>
      </c>
    </row>
    <row r="64" spans="7:24" x14ac:dyDescent="0.25">
      <c r="T64" s="1" t="s">
        <v>8</v>
      </c>
      <c r="U64" s="1" t="s">
        <v>15</v>
      </c>
      <c r="V64" s="1" t="s">
        <v>9</v>
      </c>
      <c r="W64" s="1">
        <v>4040</v>
      </c>
      <c r="X64" s="1">
        <v>3</v>
      </c>
    </row>
    <row r="65" spans="20:24" x14ac:dyDescent="0.25">
      <c r="T65" s="1" t="s">
        <v>8</v>
      </c>
      <c r="U65" s="1" t="s">
        <v>26</v>
      </c>
      <c r="V65" s="1" t="s">
        <v>14</v>
      </c>
      <c r="W65" s="1">
        <v>5191</v>
      </c>
      <c r="X65" s="1">
        <v>5</v>
      </c>
    </row>
    <row r="66" spans="20:24" x14ac:dyDescent="0.25">
      <c r="T66" s="1" t="s">
        <v>13</v>
      </c>
      <c r="U66" s="1" t="s">
        <v>26</v>
      </c>
      <c r="V66" s="1" t="s">
        <v>9</v>
      </c>
      <c r="W66" s="1">
        <v>4252</v>
      </c>
      <c r="X66" s="1">
        <v>1</v>
      </c>
    </row>
    <row r="67" spans="20:24" x14ac:dyDescent="0.25">
      <c r="T67" s="1" t="s">
        <v>11</v>
      </c>
      <c r="U67" s="1" t="s">
        <v>15</v>
      </c>
      <c r="V67" s="1" t="s">
        <v>12</v>
      </c>
      <c r="W67" s="1">
        <v>4204</v>
      </c>
      <c r="X67" s="1">
        <v>2</v>
      </c>
    </row>
    <row r="68" spans="20:24" x14ac:dyDescent="0.25">
      <c r="T68" s="1" t="s">
        <v>11</v>
      </c>
      <c r="U68" s="1" t="s">
        <v>15</v>
      </c>
      <c r="V68" s="1" t="s">
        <v>14</v>
      </c>
      <c r="W68" s="1">
        <v>4277</v>
      </c>
      <c r="X68" s="1">
        <v>2</v>
      </c>
    </row>
    <row r="69" spans="20:24" x14ac:dyDescent="0.25">
      <c r="T69" s="1" t="s">
        <v>10</v>
      </c>
      <c r="U69" s="1" t="s">
        <v>15</v>
      </c>
      <c r="V69" s="1" t="s">
        <v>7</v>
      </c>
      <c r="W69" s="1">
        <v>4636</v>
      </c>
      <c r="X69" s="1">
        <v>1</v>
      </c>
    </row>
    <row r="70" spans="20:24" x14ac:dyDescent="0.25">
      <c r="T70" s="1" t="s">
        <v>5</v>
      </c>
      <c r="U70" s="1" t="s">
        <v>26</v>
      </c>
      <c r="V70" s="1" t="s">
        <v>12</v>
      </c>
      <c r="W70" s="1">
        <v>4813</v>
      </c>
      <c r="X70" s="1">
        <v>1</v>
      </c>
    </row>
    <row r="71" spans="20:24" x14ac:dyDescent="0.25">
      <c r="T71" s="1" t="s">
        <v>8</v>
      </c>
      <c r="U71" s="1" t="s">
        <v>15</v>
      </c>
      <c r="V71" s="1" t="s">
        <v>14</v>
      </c>
      <c r="W71" s="1">
        <v>4099</v>
      </c>
      <c r="X71" s="1">
        <v>5</v>
      </c>
    </row>
    <row r="72" spans="20:24" x14ac:dyDescent="0.25">
      <c r="T72" s="1" t="s">
        <v>10</v>
      </c>
      <c r="U72" s="1" t="s">
        <v>15</v>
      </c>
      <c r="V72" s="1" t="s">
        <v>12</v>
      </c>
      <c r="W72" s="1">
        <v>4626</v>
      </c>
      <c r="X72" s="1">
        <v>3</v>
      </c>
    </row>
    <row r="73" spans="20:24" x14ac:dyDescent="0.25">
      <c r="T73" s="1" t="s">
        <v>13</v>
      </c>
      <c r="U73" s="1" t="s">
        <v>26</v>
      </c>
      <c r="V73" s="1" t="s">
        <v>7</v>
      </c>
      <c r="W73" s="1">
        <v>4580</v>
      </c>
      <c r="X73" s="1">
        <v>4</v>
      </c>
    </row>
    <row r="74" spans="20:24" x14ac:dyDescent="0.25">
      <c r="T74" s="1" t="s">
        <v>13</v>
      </c>
      <c r="U74" s="1" t="s">
        <v>15</v>
      </c>
      <c r="V74" s="1" t="s">
        <v>9</v>
      </c>
      <c r="W74" s="1">
        <v>4723</v>
      </c>
      <c r="X74" s="1">
        <v>5</v>
      </c>
    </row>
    <row r="75" spans="20:24" x14ac:dyDescent="0.25">
      <c r="T75" s="1" t="s">
        <v>10</v>
      </c>
      <c r="U75" s="1" t="s">
        <v>26</v>
      </c>
      <c r="V75" s="1" t="s">
        <v>9</v>
      </c>
      <c r="W75" s="1">
        <v>4645</v>
      </c>
      <c r="X75" s="1">
        <v>4</v>
      </c>
    </row>
    <row r="76" spans="20:24" x14ac:dyDescent="0.25">
      <c r="T76" s="1" t="s">
        <v>13</v>
      </c>
      <c r="U76" s="1" t="s">
        <v>25</v>
      </c>
      <c r="V76" s="1" t="s">
        <v>9</v>
      </c>
      <c r="W76" s="1">
        <v>4978</v>
      </c>
      <c r="X76" s="1">
        <v>4</v>
      </c>
    </row>
    <row r="77" spans="20:24" x14ac:dyDescent="0.25">
      <c r="T77" s="1" t="s">
        <v>10</v>
      </c>
      <c r="U77" s="1" t="s">
        <v>26</v>
      </c>
      <c r="V77" s="1" t="s">
        <v>12</v>
      </c>
      <c r="W77" s="1">
        <v>4025</v>
      </c>
      <c r="X77" s="1">
        <v>2</v>
      </c>
    </row>
    <row r="78" spans="20:24" x14ac:dyDescent="0.25">
      <c r="T78" s="1" t="s">
        <v>10</v>
      </c>
      <c r="U78" s="1" t="s">
        <v>26</v>
      </c>
      <c r="V78" s="1" t="s">
        <v>9</v>
      </c>
      <c r="W78" s="1">
        <v>4066</v>
      </c>
      <c r="X78" s="1">
        <v>5</v>
      </c>
    </row>
    <row r="79" spans="20:24" x14ac:dyDescent="0.25">
      <c r="T79" s="1" t="s">
        <v>11</v>
      </c>
      <c r="U79" s="1" t="s">
        <v>26</v>
      </c>
      <c r="V79" s="1" t="s">
        <v>14</v>
      </c>
      <c r="W79" s="1">
        <v>4581</v>
      </c>
      <c r="X79" s="1">
        <v>1</v>
      </c>
    </row>
    <row r="80" spans="20:24" x14ac:dyDescent="0.25">
      <c r="T80" s="1" t="s">
        <v>11</v>
      </c>
      <c r="U80" s="1" t="s">
        <v>26</v>
      </c>
      <c r="V80" s="1" t="s">
        <v>14</v>
      </c>
      <c r="W80" s="1">
        <v>4537</v>
      </c>
      <c r="X80" s="1">
        <v>1</v>
      </c>
    </row>
    <row r="81" spans="20:24" x14ac:dyDescent="0.25">
      <c r="T81" s="1" t="s">
        <v>8</v>
      </c>
      <c r="U81" s="1" t="s">
        <v>6</v>
      </c>
      <c r="V81" s="1" t="s">
        <v>14</v>
      </c>
      <c r="W81" s="1">
        <v>4662</v>
      </c>
      <c r="X81" s="1">
        <v>4</v>
      </c>
    </row>
    <row r="82" spans="20:24" x14ac:dyDescent="0.25">
      <c r="T82" s="1" t="s">
        <v>13</v>
      </c>
      <c r="U82" s="1" t="s">
        <v>26</v>
      </c>
      <c r="V82" s="1" t="s">
        <v>12</v>
      </c>
      <c r="W82" s="1">
        <v>4101</v>
      </c>
      <c r="X82" s="1">
        <v>1</v>
      </c>
    </row>
    <row r="83" spans="20:24" x14ac:dyDescent="0.25">
      <c r="T83" s="1" t="s">
        <v>11</v>
      </c>
      <c r="U83" s="1" t="s">
        <v>6</v>
      </c>
      <c r="V83" s="1" t="s">
        <v>9</v>
      </c>
      <c r="W83" s="1">
        <v>4731</v>
      </c>
      <c r="X83" s="1">
        <v>3</v>
      </c>
    </row>
    <row r="84" spans="20:24" x14ac:dyDescent="0.25">
      <c r="T84" s="1" t="s">
        <v>13</v>
      </c>
      <c r="U84" s="1" t="s">
        <v>26</v>
      </c>
      <c r="V84" s="1" t="s">
        <v>9</v>
      </c>
      <c r="W84" s="1">
        <v>4880</v>
      </c>
      <c r="X84" s="1">
        <v>4</v>
      </c>
    </row>
    <row r="85" spans="20:24" x14ac:dyDescent="0.25">
      <c r="T85" s="1" t="s">
        <v>13</v>
      </c>
      <c r="U85" s="1" t="s">
        <v>26</v>
      </c>
      <c r="V85" s="1" t="s">
        <v>12</v>
      </c>
      <c r="W85" s="1">
        <v>4229</v>
      </c>
      <c r="X85" s="1">
        <v>1</v>
      </c>
    </row>
    <row r="86" spans="20:24" x14ac:dyDescent="0.25">
      <c r="T86" s="1" t="s">
        <v>10</v>
      </c>
      <c r="U86" s="1" t="s">
        <v>6</v>
      </c>
      <c r="V86" s="1" t="s">
        <v>14</v>
      </c>
      <c r="W86" s="1">
        <v>4769</v>
      </c>
      <c r="X86" s="1">
        <v>2</v>
      </c>
    </row>
    <row r="87" spans="20:24" x14ac:dyDescent="0.25">
      <c r="T87" s="1" t="s">
        <v>10</v>
      </c>
      <c r="U87" s="1" t="s">
        <v>6</v>
      </c>
      <c r="V87" s="1" t="s">
        <v>9</v>
      </c>
      <c r="W87" s="1">
        <v>5239</v>
      </c>
      <c r="X87" s="1">
        <v>2</v>
      </c>
    </row>
    <row r="88" spans="20:24" x14ac:dyDescent="0.25">
      <c r="T88" s="1" t="s">
        <v>5</v>
      </c>
      <c r="U88" s="1" t="s">
        <v>15</v>
      </c>
      <c r="V88" s="1" t="s">
        <v>14</v>
      </c>
      <c r="W88" s="1">
        <v>5162</v>
      </c>
      <c r="X88" s="1">
        <v>5</v>
      </c>
    </row>
    <row r="89" spans="20:24" x14ac:dyDescent="0.25">
      <c r="T89" s="1" t="s">
        <v>5</v>
      </c>
      <c r="U89" s="1" t="s">
        <v>6</v>
      </c>
      <c r="V89" s="1" t="s">
        <v>12</v>
      </c>
      <c r="W89" s="1">
        <v>5296</v>
      </c>
      <c r="X89" s="1">
        <v>1</v>
      </c>
    </row>
    <row r="90" spans="20:24" x14ac:dyDescent="0.25">
      <c r="T90" s="1" t="s">
        <v>8</v>
      </c>
      <c r="U90" s="1" t="s">
        <v>15</v>
      </c>
      <c r="V90" s="1" t="s">
        <v>9</v>
      </c>
      <c r="W90" s="1">
        <v>4462</v>
      </c>
      <c r="X90" s="1">
        <v>5</v>
      </c>
    </row>
    <row r="91" spans="20:24" x14ac:dyDescent="0.25">
      <c r="T91" s="1" t="s">
        <v>10</v>
      </c>
      <c r="U91" s="1" t="s">
        <v>25</v>
      </c>
      <c r="V91" s="1" t="s">
        <v>14</v>
      </c>
      <c r="W91" s="1">
        <v>4533</v>
      </c>
      <c r="X91" s="1">
        <v>3</v>
      </c>
    </row>
    <row r="92" spans="20:24" x14ac:dyDescent="0.25">
      <c r="T92" s="1" t="s">
        <v>5</v>
      </c>
      <c r="U92" s="1" t="s">
        <v>15</v>
      </c>
      <c r="V92" s="1" t="s">
        <v>9</v>
      </c>
      <c r="W92" s="1">
        <v>5148</v>
      </c>
      <c r="X92" s="1">
        <v>5</v>
      </c>
    </row>
    <row r="93" spans="20:24" x14ac:dyDescent="0.25">
      <c r="T93" s="1" t="s">
        <v>11</v>
      </c>
      <c r="U93" s="1" t="s">
        <v>26</v>
      </c>
      <c r="V93" s="1" t="s">
        <v>14</v>
      </c>
      <c r="W93" s="1">
        <v>4423</v>
      </c>
      <c r="X93" s="1">
        <v>4</v>
      </c>
    </row>
    <row r="94" spans="20:24" x14ac:dyDescent="0.25">
      <c r="T94" s="1" t="s">
        <v>11</v>
      </c>
      <c r="U94" s="1" t="s">
        <v>26</v>
      </c>
      <c r="V94" s="1" t="s">
        <v>14</v>
      </c>
      <c r="W94" s="1">
        <v>5241</v>
      </c>
      <c r="X94" s="1">
        <v>4</v>
      </c>
    </row>
    <row r="95" spans="20:24" x14ac:dyDescent="0.25">
      <c r="T95" s="1" t="s">
        <v>11</v>
      </c>
      <c r="U95" s="1" t="s">
        <v>25</v>
      </c>
      <c r="V95" s="1" t="s">
        <v>7</v>
      </c>
      <c r="W95" s="1">
        <v>4493</v>
      </c>
      <c r="X95" s="1">
        <v>2</v>
      </c>
    </row>
    <row r="96" spans="20:24" x14ac:dyDescent="0.25">
      <c r="T96" s="1" t="s">
        <v>8</v>
      </c>
      <c r="U96" s="1" t="s">
        <v>26</v>
      </c>
      <c r="V96" s="1" t="s">
        <v>7</v>
      </c>
      <c r="W96" s="1">
        <v>4283</v>
      </c>
      <c r="X96" s="1">
        <v>2</v>
      </c>
    </row>
    <row r="97" spans="20:24" x14ac:dyDescent="0.25">
      <c r="T97" s="1" t="s">
        <v>5</v>
      </c>
      <c r="U97" s="1" t="s">
        <v>6</v>
      </c>
      <c r="V97" s="1" t="s">
        <v>14</v>
      </c>
      <c r="W97" s="1">
        <v>5102</v>
      </c>
      <c r="X97" s="1">
        <v>3</v>
      </c>
    </row>
    <row r="98" spans="20:24" x14ac:dyDescent="0.25">
      <c r="T98" s="1" t="s">
        <v>10</v>
      </c>
      <c r="U98" s="1" t="s">
        <v>26</v>
      </c>
      <c r="V98" s="1" t="s">
        <v>12</v>
      </c>
      <c r="W98" s="1">
        <v>5359</v>
      </c>
      <c r="X98" s="1">
        <v>4</v>
      </c>
    </row>
    <row r="99" spans="20:24" x14ac:dyDescent="0.25">
      <c r="T99" s="1" t="s">
        <v>8</v>
      </c>
      <c r="U99" s="1" t="s">
        <v>25</v>
      </c>
      <c r="V99" s="1" t="s">
        <v>12</v>
      </c>
      <c r="W99" s="1">
        <v>4554</v>
      </c>
      <c r="X99" s="1">
        <v>2</v>
      </c>
    </row>
    <row r="100" spans="20:24" x14ac:dyDescent="0.25">
      <c r="T100" s="1" t="s">
        <v>11</v>
      </c>
      <c r="U100" s="1" t="s">
        <v>26</v>
      </c>
      <c r="V100" s="1" t="s">
        <v>12</v>
      </c>
      <c r="W100" s="1">
        <v>5126</v>
      </c>
      <c r="X100" s="1">
        <v>1</v>
      </c>
    </row>
    <row r="101" spans="20:24" x14ac:dyDescent="0.25">
      <c r="T101" s="1" t="s">
        <v>10</v>
      </c>
      <c r="U101" s="1" t="s">
        <v>26</v>
      </c>
      <c r="V101" s="1" t="s">
        <v>12</v>
      </c>
      <c r="W101" s="1">
        <v>4087</v>
      </c>
      <c r="X101" s="1">
        <v>5</v>
      </c>
    </row>
    <row r="102" spans="20:24" x14ac:dyDescent="0.25">
      <c r="T102" s="1" t="s">
        <v>5</v>
      </c>
      <c r="U102" s="1" t="s">
        <v>26</v>
      </c>
      <c r="V102" s="1" t="s">
        <v>7</v>
      </c>
      <c r="W102" s="1">
        <v>5009</v>
      </c>
      <c r="X102" s="1">
        <v>3</v>
      </c>
    </row>
    <row r="103" spans="20:24" x14ac:dyDescent="0.25">
      <c r="T103" s="1" t="s">
        <v>5</v>
      </c>
      <c r="U103" s="1" t="s">
        <v>25</v>
      </c>
      <c r="V103" s="1" t="s">
        <v>7</v>
      </c>
      <c r="W103" s="1">
        <v>4014</v>
      </c>
      <c r="X103" s="1">
        <v>1</v>
      </c>
    </row>
    <row r="104" spans="20:24" x14ac:dyDescent="0.25">
      <c r="T104" s="1" t="s">
        <v>13</v>
      </c>
      <c r="U104" s="1" t="s">
        <v>15</v>
      </c>
      <c r="V104" s="1" t="s">
        <v>9</v>
      </c>
      <c r="W104" s="1">
        <v>4198</v>
      </c>
      <c r="X104" s="1">
        <v>2</v>
      </c>
    </row>
    <row r="105" spans="20:24" x14ac:dyDescent="0.25">
      <c r="T105" s="1" t="s">
        <v>10</v>
      </c>
      <c r="U105" s="1" t="s">
        <v>25</v>
      </c>
      <c r="V105" s="1" t="s">
        <v>12</v>
      </c>
      <c r="W105" s="1">
        <v>4072</v>
      </c>
      <c r="X105" s="1">
        <v>1</v>
      </c>
    </row>
    <row r="106" spans="20:24" x14ac:dyDescent="0.25">
      <c r="T106" s="1" t="s">
        <v>5</v>
      </c>
      <c r="U106" s="1" t="s">
        <v>15</v>
      </c>
      <c r="V106" s="1" t="s">
        <v>9</v>
      </c>
      <c r="W106" s="1">
        <v>4350</v>
      </c>
      <c r="X106" s="1">
        <v>3</v>
      </c>
    </row>
    <row r="107" spans="20:24" x14ac:dyDescent="0.25">
      <c r="T107" s="1" t="s">
        <v>5</v>
      </c>
      <c r="U107" s="1" t="s">
        <v>15</v>
      </c>
      <c r="V107" s="1" t="s">
        <v>9</v>
      </c>
      <c r="W107" s="1">
        <v>4466</v>
      </c>
      <c r="X107" s="1">
        <v>5</v>
      </c>
    </row>
    <row r="108" spans="20:24" x14ac:dyDescent="0.25">
      <c r="T108" s="1" t="s">
        <v>13</v>
      </c>
      <c r="U108" s="1" t="s">
        <v>6</v>
      </c>
      <c r="V108" s="1" t="s">
        <v>7</v>
      </c>
      <c r="W108" s="1">
        <v>5024</v>
      </c>
      <c r="X108" s="1">
        <v>2</v>
      </c>
    </row>
    <row r="109" spans="20:24" x14ac:dyDescent="0.25">
      <c r="T109" s="1" t="s">
        <v>10</v>
      </c>
      <c r="U109" s="1" t="s">
        <v>15</v>
      </c>
      <c r="V109" s="1" t="s">
        <v>7</v>
      </c>
      <c r="W109" s="1">
        <v>5114</v>
      </c>
      <c r="X109" s="1">
        <v>2</v>
      </c>
    </row>
    <row r="110" spans="20:24" x14ac:dyDescent="0.25">
      <c r="T110" s="1" t="s">
        <v>5</v>
      </c>
      <c r="U110" s="1" t="s">
        <v>6</v>
      </c>
      <c r="V110" s="1" t="s">
        <v>14</v>
      </c>
      <c r="W110" s="1">
        <v>4142</v>
      </c>
      <c r="X110" s="1">
        <v>2</v>
      </c>
    </row>
    <row r="111" spans="20:24" x14ac:dyDescent="0.25">
      <c r="T111" s="1" t="s">
        <v>5</v>
      </c>
      <c r="U111" s="1" t="s">
        <v>15</v>
      </c>
      <c r="V111" s="1" t="s">
        <v>14</v>
      </c>
      <c r="W111" s="1">
        <v>5367</v>
      </c>
      <c r="X111" s="1">
        <v>2</v>
      </c>
    </row>
    <row r="112" spans="20:24" x14ac:dyDescent="0.25">
      <c r="T112" s="1" t="s">
        <v>11</v>
      </c>
      <c r="U112" s="1" t="s">
        <v>25</v>
      </c>
      <c r="V112" s="1" t="s">
        <v>7</v>
      </c>
      <c r="W112" s="1">
        <v>4153</v>
      </c>
      <c r="X112" s="1">
        <v>1</v>
      </c>
    </row>
    <row r="113" spans="20:24" x14ac:dyDescent="0.25">
      <c r="T113" s="1" t="s">
        <v>11</v>
      </c>
      <c r="U113" s="1" t="s">
        <v>15</v>
      </c>
      <c r="V113" s="1" t="s">
        <v>12</v>
      </c>
      <c r="W113" s="1">
        <v>4315</v>
      </c>
      <c r="X113" s="1">
        <v>4</v>
      </c>
    </row>
    <row r="114" spans="20:24" x14ac:dyDescent="0.25">
      <c r="T114" s="1" t="s">
        <v>8</v>
      </c>
      <c r="U114" s="1" t="s">
        <v>6</v>
      </c>
      <c r="V114" s="1" t="s">
        <v>14</v>
      </c>
      <c r="W114" s="1">
        <v>5229</v>
      </c>
      <c r="X114" s="1">
        <v>4</v>
      </c>
    </row>
    <row r="115" spans="20:24" x14ac:dyDescent="0.25">
      <c r="T115" s="1" t="s">
        <v>13</v>
      </c>
      <c r="U115" s="1" t="s">
        <v>25</v>
      </c>
      <c r="V115" s="1" t="s">
        <v>14</v>
      </c>
      <c r="W115" s="1">
        <v>4943</v>
      </c>
      <c r="X115" s="1">
        <v>3</v>
      </c>
    </row>
    <row r="116" spans="20:24" x14ac:dyDescent="0.25">
      <c r="T116" s="1" t="s">
        <v>8</v>
      </c>
      <c r="U116" s="1" t="s">
        <v>26</v>
      </c>
      <c r="V116" s="1" t="s">
        <v>9</v>
      </c>
      <c r="W116" s="1">
        <v>4352</v>
      </c>
      <c r="X116" s="1">
        <v>4</v>
      </c>
    </row>
    <row r="117" spans="20:24" x14ac:dyDescent="0.25">
      <c r="T117" s="1" t="s">
        <v>5</v>
      </c>
      <c r="U117" s="1" t="s">
        <v>15</v>
      </c>
      <c r="V117" s="1" t="s">
        <v>9</v>
      </c>
      <c r="W117" s="1">
        <v>4641</v>
      </c>
      <c r="X117" s="1">
        <v>5</v>
      </c>
    </row>
    <row r="118" spans="20:24" x14ac:dyDescent="0.25">
      <c r="T118" s="1" t="s">
        <v>11</v>
      </c>
      <c r="U118" s="1" t="s">
        <v>6</v>
      </c>
      <c r="V118" s="1" t="s">
        <v>7</v>
      </c>
      <c r="W118" s="1">
        <v>4357</v>
      </c>
      <c r="X118" s="1">
        <v>3</v>
      </c>
    </row>
    <row r="119" spans="20:24" x14ac:dyDescent="0.25">
      <c r="T119" s="1" t="s">
        <v>8</v>
      </c>
      <c r="U119" s="1" t="s">
        <v>6</v>
      </c>
      <c r="V119" s="1" t="s">
        <v>14</v>
      </c>
      <c r="W119" s="1">
        <v>4306</v>
      </c>
      <c r="X119" s="1">
        <v>4</v>
      </c>
    </row>
    <row r="120" spans="20:24" x14ac:dyDescent="0.25">
      <c r="T120" s="1" t="s">
        <v>13</v>
      </c>
      <c r="U120" s="1" t="s">
        <v>15</v>
      </c>
      <c r="V120" s="1" t="s">
        <v>12</v>
      </c>
      <c r="W120" s="1">
        <v>4001</v>
      </c>
      <c r="X120" s="1">
        <v>1</v>
      </c>
    </row>
    <row r="121" spans="20:24" x14ac:dyDescent="0.25">
      <c r="T121" s="1" t="s">
        <v>8</v>
      </c>
      <c r="U121" s="1" t="s">
        <v>26</v>
      </c>
      <c r="V121" s="1" t="s">
        <v>14</v>
      </c>
      <c r="W121" s="1">
        <v>5162</v>
      </c>
      <c r="X121" s="1">
        <v>5</v>
      </c>
    </row>
    <row r="122" spans="20:24" x14ac:dyDescent="0.25">
      <c r="T122" s="1" t="s">
        <v>11</v>
      </c>
      <c r="U122" s="1" t="s">
        <v>6</v>
      </c>
      <c r="V122" s="1" t="s">
        <v>12</v>
      </c>
      <c r="W122" s="1">
        <v>4770</v>
      </c>
      <c r="X122" s="1">
        <v>1</v>
      </c>
    </row>
    <row r="123" spans="20:24" x14ac:dyDescent="0.25">
      <c r="T123" s="1" t="s">
        <v>5</v>
      </c>
      <c r="U123" s="1" t="s">
        <v>26</v>
      </c>
      <c r="V123" s="1" t="s">
        <v>7</v>
      </c>
      <c r="W123" s="1">
        <v>4660</v>
      </c>
      <c r="X123" s="1">
        <v>2</v>
      </c>
    </row>
    <row r="124" spans="20:24" x14ac:dyDescent="0.25">
      <c r="T124" s="1" t="s">
        <v>11</v>
      </c>
      <c r="U124" s="1" t="s">
        <v>26</v>
      </c>
      <c r="V124" s="1" t="s">
        <v>14</v>
      </c>
      <c r="W124" s="1">
        <v>5414</v>
      </c>
      <c r="X124" s="1">
        <v>1</v>
      </c>
    </row>
    <row r="125" spans="20:24" x14ac:dyDescent="0.25">
      <c r="T125" s="1" t="s">
        <v>10</v>
      </c>
      <c r="U125" s="1" t="s">
        <v>6</v>
      </c>
      <c r="V125" s="1" t="s">
        <v>12</v>
      </c>
      <c r="W125" s="1">
        <v>4582</v>
      </c>
      <c r="X125" s="1">
        <v>5</v>
      </c>
    </row>
    <row r="126" spans="20:24" x14ac:dyDescent="0.25">
      <c r="T126" s="1" t="s">
        <v>5</v>
      </c>
      <c r="U126" s="1" t="s">
        <v>25</v>
      </c>
      <c r="V126" s="1" t="s">
        <v>9</v>
      </c>
      <c r="W126" s="1">
        <v>4311</v>
      </c>
      <c r="X126" s="1">
        <v>5</v>
      </c>
    </row>
    <row r="127" spans="20:24" x14ac:dyDescent="0.25">
      <c r="T127" s="1" t="s">
        <v>8</v>
      </c>
      <c r="U127" s="1" t="s">
        <v>25</v>
      </c>
      <c r="V127" s="1" t="s">
        <v>14</v>
      </c>
      <c r="W127" s="1">
        <v>5309</v>
      </c>
      <c r="X127" s="1">
        <v>2</v>
      </c>
    </row>
    <row r="128" spans="20:24" x14ac:dyDescent="0.25">
      <c r="T128" s="1" t="s">
        <v>10</v>
      </c>
      <c r="U128" s="1" t="s">
        <v>15</v>
      </c>
      <c r="V128" s="1" t="s">
        <v>14</v>
      </c>
      <c r="W128" s="1">
        <v>4799</v>
      </c>
      <c r="X128" s="1">
        <v>3</v>
      </c>
    </row>
    <row r="129" spans="20:24" x14ac:dyDescent="0.25">
      <c r="T129" s="1" t="s">
        <v>10</v>
      </c>
      <c r="U129" s="1" t="s">
        <v>15</v>
      </c>
      <c r="V129" s="1" t="s">
        <v>14</v>
      </c>
      <c r="W129" s="1">
        <v>4242</v>
      </c>
      <c r="X129" s="1">
        <v>1</v>
      </c>
    </row>
    <row r="130" spans="20:24" x14ac:dyDescent="0.25">
      <c r="T130" s="1" t="s">
        <v>5</v>
      </c>
      <c r="U130" s="1" t="s">
        <v>15</v>
      </c>
      <c r="V130" s="1" t="s">
        <v>12</v>
      </c>
      <c r="W130" s="1">
        <v>4810</v>
      </c>
      <c r="X130" s="1">
        <v>2</v>
      </c>
    </row>
    <row r="131" spans="20:24" x14ac:dyDescent="0.25">
      <c r="T131" s="1" t="s">
        <v>11</v>
      </c>
      <c r="U131" s="1" t="s">
        <v>25</v>
      </c>
      <c r="V131" s="1" t="s">
        <v>9</v>
      </c>
      <c r="W131" s="1">
        <v>4432</v>
      </c>
      <c r="X131" s="1">
        <v>5</v>
      </c>
    </row>
    <row r="132" spans="20:24" x14ac:dyDescent="0.25">
      <c r="T132" s="1" t="s">
        <v>10</v>
      </c>
      <c r="U132" s="1" t="s">
        <v>25</v>
      </c>
      <c r="V132" s="1" t="s">
        <v>9</v>
      </c>
      <c r="W132" s="1">
        <v>4295</v>
      </c>
      <c r="X132" s="1">
        <v>2</v>
      </c>
    </row>
    <row r="133" spans="20:24" x14ac:dyDescent="0.25">
      <c r="T133" s="1" t="s">
        <v>11</v>
      </c>
      <c r="U133" s="1" t="s">
        <v>26</v>
      </c>
      <c r="V133" s="1" t="s">
        <v>14</v>
      </c>
      <c r="W133" s="1">
        <v>4703</v>
      </c>
      <c r="X133" s="1">
        <v>4</v>
      </c>
    </row>
    <row r="134" spans="20:24" x14ac:dyDescent="0.25">
      <c r="T134" s="1" t="s">
        <v>8</v>
      </c>
      <c r="U134" s="1" t="s">
        <v>15</v>
      </c>
      <c r="V134" s="1" t="s">
        <v>7</v>
      </c>
      <c r="W134" s="1">
        <v>4192</v>
      </c>
      <c r="X134" s="1">
        <v>3</v>
      </c>
    </row>
    <row r="135" spans="20:24" x14ac:dyDescent="0.25">
      <c r="T135" s="1" t="s">
        <v>11</v>
      </c>
      <c r="U135" s="1" t="s">
        <v>26</v>
      </c>
      <c r="V135" s="1" t="s">
        <v>9</v>
      </c>
      <c r="W135" s="1">
        <v>5006</v>
      </c>
      <c r="X135" s="1">
        <v>5</v>
      </c>
    </row>
    <row r="136" spans="20:24" x14ac:dyDescent="0.25">
      <c r="T136" s="1" t="s">
        <v>13</v>
      </c>
      <c r="U136" s="1" t="s">
        <v>25</v>
      </c>
      <c r="V136" s="1" t="s">
        <v>14</v>
      </c>
      <c r="W136" s="1">
        <v>5018</v>
      </c>
      <c r="X136" s="1">
        <v>2</v>
      </c>
    </row>
    <row r="137" spans="20:24" x14ac:dyDescent="0.25">
      <c r="T137" s="1" t="s">
        <v>11</v>
      </c>
      <c r="U137" s="1" t="s">
        <v>6</v>
      </c>
      <c r="V137" s="1" t="s">
        <v>7</v>
      </c>
      <c r="W137" s="1">
        <v>4020</v>
      </c>
      <c r="X137" s="1">
        <v>4</v>
      </c>
    </row>
    <row r="138" spans="20:24" x14ac:dyDescent="0.25">
      <c r="T138" s="1" t="s">
        <v>8</v>
      </c>
      <c r="U138" s="1" t="s">
        <v>6</v>
      </c>
      <c r="V138" s="1" t="s">
        <v>14</v>
      </c>
      <c r="W138" s="1">
        <v>5431</v>
      </c>
      <c r="X138" s="1">
        <v>1</v>
      </c>
    </row>
    <row r="139" spans="20:24" x14ac:dyDescent="0.25">
      <c r="T139" s="1" t="s">
        <v>11</v>
      </c>
      <c r="U139" s="1" t="s">
        <v>26</v>
      </c>
      <c r="V139" s="1" t="s">
        <v>14</v>
      </c>
      <c r="W139" s="1">
        <v>5111</v>
      </c>
      <c r="X139" s="1">
        <v>5</v>
      </c>
    </row>
    <row r="140" spans="20:24" x14ac:dyDescent="0.25">
      <c r="T140" s="1" t="s">
        <v>8</v>
      </c>
      <c r="U140" s="1" t="s">
        <v>15</v>
      </c>
      <c r="V140" s="1" t="s">
        <v>9</v>
      </c>
      <c r="W140" s="1">
        <v>5142</v>
      </c>
      <c r="X140" s="1">
        <v>5</v>
      </c>
    </row>
    <row r="141" spans="20:24" x14ac:dyDescent="0.25">
      <c r="T141" s="1" t="s">
        <v>8</v>
      </c>
      <c r="U141" s="1" t="s">
        <v>6</v>
      </c>
      <c r="V141" s="1" t="s">
        <v>7</v>
      </c>
      <c r="W141" s="1">
        <v>4753</v>
      </c>
      <c r="X141" s="1">
        <v>3</v>
      </c>
    </row>
    <row r="142" spans="20:24" x14ac:dyDescent="0.25">
      <c r="T142" s="1" t="s">
        <v>10</v>
      </c>
      <c r="U142" s="1" t="s">
        <v>26</v>
      </c>
      <c r="V142" s="1" t="s">
        <v>7</v>
      </c>
      <c r="W142" s="1">
        <v>5228</v>
      </c>
      <c r="X142" s="1">
        <v>1</v>
      </c>
    </row>
    <row r="143" spans="20:24" x14ac:dyDescent="0.25">
      <c r="T143" s="1" t="s">
        <v>10</v>
      </c>
      <c r="U143" s="1" t="s">
        <v>25</v>
      </c>
      <c r="V143" s="1" t="s">
        <v>7</v>
      </c>
      <c r="W143" s="1">
        <v>4748</v>
      </c>
      <c r="X143" s="1">
        <v>5</v>
      </c>
    </row>
    <row r="144" spans="20:24" x14ac:dyDescent="0.25">
      <c r="T144" s="1" t="s">
        <v>13</v>
      </c>
      <c r="U144" s="1" t="s">
        <v>25</v>
      </c>
      <c r="V144" s="1" t="s">
        <v>12</v>
      </c>
      <c r="W144" s="1">
        <v>4430</v>
      </c>
      <c r="X144" s="1">
        <v>4</v>
      </c>
    </row>
    <row r="145" spans="20:24" x14ac:dyDescent="0.25">
      <c r="T145" s="1" t="s">
        <v>11</v>
      </c>
      <c r="U145" s="1" t="s">
        <v>26</v>
      </c>
      <c r="V145" s="1" t="s">
        <v>14</v>
      </c>
      <c r="W145" s="1">
        <v>4836</v>
      </c>
      <c r="X145" s="1">
        <v>2</v>
      </c>
    </row>
    <row r="146" spans="20:24" x14ac:dyDescent="0.25">
      <c r="T146" s="1" t="s">
        <v>5</v>
      </c>
      <c r="U146" s="1" t="s">
        <v>15</v>
      </c>
      <c r="V146" s="1" t="s">
        <v>7</v>
      </c>
      <c r="W146" s="1">
        <v>4813</v>
      </c>
      <c r="X146" s="1">
        <v>4</v>
      </c>
    </row>
    <row r="147" spans="20:24" x14ac:dyDescent="0.25">
      <c r="T147" s="1" t="s">
        <v>10</v>
      </c>
      <c r="U147" s="1" t="s">
        <v>6</v>
      </c>
      <c r="V147" s="1" t="s">
        <v>12</v>
      </c>
      <c r="W147" s="1">
        <v>5360</v>
      </c>
      <c r="X147" s="1">
        <v>3</v>
      </c>
    </row>
    <row r="148" spans="20:24" x14ac:dyDescent="0.25">
      <c r="T148" s="1" t="s">
        <v>8</v>
      </c>
      <c r="U148" s="1" t="s">
        <v>15</v>
      </c>
      <c r="V148" s="1" t="s">
        <v>12</v>
      </c>
      <c r="W148" s="1">
        <v>4257</v>
      </c>
      <c r="X148" s="1">
        <v>2</v>
      </c>
    </row>
    <row r="149" spans="20:24" x14ac:dyDescent="0.25">
      <c r="T149" s="1" t="s">
        <v>8</v>
      </c>
      <c r="U149" s="1" t="s">
        <v>6</v>
      </c>
      <c r="V149" s="1" t="s">
        <v>9</v>
      </c>
      <c r="W149" s="1">
        <v>5240</v>
      </c>
      <c r="X149" s="1">
        <v>3</v>
      </c>
    </row>
    <row r="150" spans="20:24" x14ac:dyDescent="0.25">
      <c r="T150" s="1" t="s">
        <v>8</v>
      </c>
      <c r="U150" s="1" t="s">
        <v>15</v>
      </c>
      <c r="V150" s="1" t="s">
        <v>7</v>
      </c>
      <c r="W150" s="1">
        <v>4820</v>
      </c>
      <c r="X150" s="1">
        <v>5</v>
      </c>
    </row>
    <row r="151" spans="20:24" x14ac:dyDescent="0.25">
      <c r="T151" s="1" t="s">
        <v>8</v>
      </c>
      <c r="U151" s="1" t="s">
        <v>6</v>
      </c>
      <c r="V151" s="1" t="s">
        <v>9</v>
      </c>
      <c r="W151" s="1">
        <v>4135</v>
      </c>
      <c r="X151" s="1">
        <v>4</v>
      </c>
    </row>
    <row r="152" spans="20:24" x14ac:dyDescent="0.25">
      <c r="T152" s="1" t="s">
        <v>10</v>
      </c>
      <c r="U152" s="1" t="s">
        <v>25</v>
      </c>
      <c r="V152" s="1" t="s">
        <v>12</v>
      </c>
      <c r="W152" s="1">
        <v>4389</v>
      </c>
      <c r="X152" s="1">
        <v>4</v>
      </c>
    </row>
    <row r="153" spans="20:24" x14ac:dyDescent="0.25">
      <c r="T153" s="1" t="s">
        <v>10</v>
      </c>
      <c r="U153" s="1" t="s">
        <v>26</v>
      </c>
      <c r="V153" s="1" t="s">
        <v>9</v>
      </c>
      <c r="W153" s="1">
        <v>5138</v>
      </c>
      <c r="X153" s="1">
        <v>2</v>
      </c>
    </row>
    <row r="154" spans="20:24" x14ac:dyDescent="0.25">
      <c r="T154" s="1" t="s">
        <v>8</v>
      </c>
      <c r="U154" s="1" t="s">
        <v>25</v>
      </c>
      <c r="V154" s="1" t="s">
        <v>12</v>
      </c>
      <c r="W154" s="1">
        <v>4834</v>
      </c>
      <c r="X154" s="1">
        <v>2</v>
      </c>
    </row>
    <row r="155" spans="20:24" x14ac:dyDescent="0.25">
      <c r="T155" s="1" t="s">
        <v>11</v>
      </c>
      <c r="U155" s="1" t="s">
        <v>25</v>
      </c>
      <c r="V155" s="1" t="s">
        <v>12</v>
      </c>
      <c r="W155" s="1">
        <v>4399</v>
      </c>
      <c r="X155" s="1">
        <v>5</v>
      </c>
    </row>
    <row r="156" spans="20:24" x14ac:dyDescent="0.25">
      <c r="T156" s="1" t="s">
        <v>13</v>
      </c>
      <c r="U156" s="1" t="s">
        <v>15</v>
      </c>
      <c r="V156" s="1" t="s">
        <v>12</v>
      </c>
      <c r="W156" s="1">
        <v>5200</v>
      </c>
      <c r="X156" s="1">
        <v>3</v>
      </c>
    </row>
    <row r="157" spans="20:24" x14ac:dyDescent="0.25">
      <c r="T157" s="1" t="s">
        <v>5</v>
      </c>
      <c r="U157" s="1" t="s">
        <v>6</v>
      </c>
      <c r="V157" s="1" t="s">
        <v>12</v>
      </c>
      <c r="W157" s="1">
        <v>5279</v>
      </c>
      <c r="X157" s="1">
        <v>1</v>
      </c>
    </row>
    <row r="158" spans="20:24" x14ac:dyDescent="0.25">
      <c r="T158" s="1" t="s">
        <v>8</v>
      </c>
      <c r="U158" s="1" t="s">
        <v>15</v>
      </c>
      <c r="V158" s="1" t="s">
        <v>9</v>
      </c>
      <c r="W158" s="1">
        <v>4080</v>
      </c>
      <c r="X158" s="1">
        <v>4</v>
      </c>
    </row>
    <row r="159" spans="20:24" x14ac:dyDescent="0.25">
      <c r="T159" s="1" t="s">
        <v>5</v>
      </c>
      <c r="U159" s="1" t="s">
        <v>25</v>
      </c>
      <c r="V159" s="1" t="s">
        <v>9</v>
      </c>
      <c r="W159" s="1">
        <v>4723</v>
      </c>
      <c r="X159" s="1">
        <v>1</v>
      </c>
    </row>
    <row r="160" spans="20:24" x14ac:dyDescent="0.25">
      <c r="T160" s="1" t="s">
        <v>8</v>
      </c>
      <c r="U160" s="1" t="s">
        <v>6</v>
      </c>
      <c r="V160" s="1" t="s">
        <v>14</v>
      </c>
      <c r="W160" s="1">
        <v>5428</v>
      </c>
      <c r="X160" s="1">
        <v>3</v>
      </c>
    </row>
    <row r="161" spans="20:24" x14ac:dyDescent="0.25">
      <c r="T161" s="1" t="s">
        <v>8</v>
      </c>
      <c r="U161" s="1" t="s">
        <v>26</v>
      </c>
      <c r="V161" s="1" t="s">
        <v>14</v>
      </c>
      <c r="W161" s="1">
        <v>4831</v>
      </c>
      <c r="X161" s="1">
        <v>1</v>
      </c>
    </row>
    <row r="162" spans="20:24" x14ac:dyDescent="0.25">
      <c r="T162" s="1" t="s">
        <v>8</v>
      </c>
      <c r="U162" s="1" t="s">
        <v>15</v>
      </c>
      <c r="V162" s="1" t="s">
        <v>9</v>
      </c>
      <c r="W162" s="1">
        <v>5371</v>
      </c>
      <c r="X162" s="1">
        <v>1</v>
      </c>
    </row>
    <row r="163" spans="20:24" x14ac:dyDescent="0.25">
      <c r="T163" s="1" t="s">
        <v>10</v>
      </c>
      <c r="U163" s="1" t="s">
        <v>26</v>
      </c>
      <c r="V163" s="1" t="s">
        <v>14</v>
      </c>
      <c r="W163" s="1">
        <v>5371</v>
      </c>
      <c r="X163" s="1">
        <v>5</v>
      </c>
    </row>
    <row r="164" spans="20:24" x14ac:dyDescent="0.25">
      <c r="T164" s="1" t="s">
        <v>10</v>
      </c>
      <c r="U164" s="1" t="s">
        <v>26</v>
      </c>
      <c r="V164" s="1" t="s">
        <v>7</v>
      </c>
      <c r="W164" s="1">
        <v>4706</v>
      </c>
      <c r="X164" s="1">
        <v>4</v>
      </c>
    </row>
    <row r="165" spans="20:24" x14ac:dyDescent="0.25">
      <c r="T165" s="1" t="s">
        <v>11</v>
      </c>
      <c r="U165" s="1" t="s">
        <v>15</v>
      </c>
      <c r="V165" s="1" t="s">
        <v>7</v>
      </c>
      <c r="W165" s="1">
        <v>4491</v>
      </c>
      <c r="X165" s="1">
        <v>2</v>
      </c>
    </row>
    <row r="166" spans="20:24" x14ac:dyDescent="0.25">
      <c r="T166" s="1" t="s">
        <v>13</v>
      </c>
      <c r="U166" s="1" t="s">
        <v>15</v>
      </c>
      <c r="V166" s="1" t="s">
        <v>14</v>
      </c>
      <c r="W166" s="1">
        <v>4110</v>
      </c>
      <c r="X166" s="1">
        <v>5</v>
      </c>
    </row>
    <row r="167" spans="20:24" x14ac:dyDescent="0.25">
      <c r="T167" s="1" t="s">
        <v>11</v>
      </c>
      <c r="U167" s="1" t="s">
        <v>26</v>
      </c>
      <c r="V167" s="1" t="s">
        <v>12</v>
      </c>
      <c r="W167" s="1">
        <v>4648</v>
      </c>
      <c r="X167" s="1">
        <v>5</v>
      </c>
    </row>
    <row r="168" spans="20:24" x14ac:dyDescent="0.25">
      <c r="T168" s="1" t="s">
        <v>10</v>
      </c>
      <c r="U168" s="1" t="s">
        <v>25</v>
      </c>
      <c r="V168" s="1" t="s">
        <v>9</v>
      </c>
      <c r="W168" s="1">
        <v>5349</v>
      </c>
      <c r="X168" s="1">
        <v>3</v>
      </c>
    </row>
    <row r="169" spans="20:24" x14ac:dyDescent="0.25">
      <c r="T169" s="1" t="s">
        <v>10</v>
      </c>
      <c r="U169" s="1" t="s">
        <v>15</v>
      </c>
      <c r="V169" s="1" t="s">
        <v>12</v>
      </c>
      <c r="W169" s="1">
        <v>4802</v>
      </c>
      <c r="X169" s="1">
        <v>1</v>
      </c>
    </row>
    <row r="170" spans="20:24" x14ac:dyDescent="0.25">
      <c r="T170" s="1" t="s">
        <v>11</v>
      </c>
      <c r="U170" s="1" t="s">
        <v>25</v>
      </c>
      <c r="V170" s="1" t="s">
        <v>9</v>
      </c>
      <c r="W170" s="1">
        <v>5274</v>
      </c>
      <c r="X170" s="1">
        <v>1</v>
      </c>
    </row>
    <row r="171" spans="20:24" x14ac:dyDescent="0.25">
      <c r="T171" s="1" t="s">
        <v>11</v>
      </c>
      <c r="U171" s="1" t="s">
        <v>25</v>
      </c>
      <c r="V171" s="1" t="s">
        <v>14</v>
      </c>
      <c r="W171" s="1">
        <v>5248</v>
      </c>
      <c r="X171" s="1">
        <v>4</v>
      </c>
    </row>
    <row r="172" spans="20:24" x14ac:dyDescent="0.25">
      <c r="T172" s="1" t="s">
        <v>11</v>
      </c>
      <c r="U172" s="1" t="s">
        <v>25</v>
      </c>
      <c r="V172" s="1" t="s">
        <v>7</v>
      </c>
      <c r="W172" s="1">
        <v>4176</v>
      </c>
      <c r="X172" s="1">
        <v>2</v>
      </c>
    </row>
    <row r="173" spans="20:24" x14ac:dyDescent="0.25">
      <c r="T173" s="1" t="s">
        <v>11</v>
      </c>
      <c r="U173" s="1" t="s">
        <v>25</v>
      </c>
      <c r="V173" s="1" t="s">
        <v>14</v>
      </c>
      <c r="W173" s="1">
        <v>4639</v>
      </c>
      <c r="X173" s="1">
        <v>1</v>
      </c>
    </row>
    <row r="174" spans="20:24" x14ac:dyDescent="0.25">
      <c r="T174" s="1" t="s">
        <v>11</v>
      </c>
      <c r="U174" s="1" t="s">
        <v>6</v>
      </c>
      <c r="V174" s="1" t="s">
        <v>12</v>
      </c>
      <c r="W174" s="1">
        <v>4261</v>
      </c>
      <c r="X174" s="1">
        <v>2</v>
      </c>
    </row>
    <row r="175" spans="20:24" x14ac:dyDescent="0.25">
      <c r="T175" s="1" t="s">
        <v>11</v>
      </c>
      <c r="U175" s="1" t="s">
        <v>15</v>
      </c>
      <c r="V175" s="1" t="s">
        <v>7</v>
      </c>
      <c r="W175" s="1">
        <v>5327</v>
      </c>
      <c r="X175" s="1">
        <v>5</v>
      </c>
    </row>
    <row r="176" spans="20:24" x14ac:dyDescent="0.25">
      <c r="T176" s="1" t="s">
        <v>10</v>
      </c>
      <c r="U176" s="1" t="s">
        <v>15</v>
      </c>
      <c r="V176" s="1" t="s">
        <v>12</v>
      </c>
      <c r="W176" s="1">
        <v>4387</v>
      </c>
      <c r="X176" s="1">
        <v>4</v>
      </c>
    </row>
    <row r="177" spans="20:24" x14ac:dyDescent="0.25">
      <c r="T177" s="1" t="s">
        <v>8</v>
      </c>
      <c r="U177" s="1" t="s">
        <v>15</v>
      </c>
      <c r="V177" s="1" t="s">
        <v>7</v>
      </c>
      <c r="W177" s="1">
        <v>4993</v>
      </c>
      <c r="X177" s="1">
        <v>1</v>
      </c>
    </row>
    <row r="178" spans="20:24" x14ac:dyDescent="0.25">
      <c r="T178" s="1" t="s">
        <v>13</v>
      </c>
      <c r="U178" s="1" t="s">
        <v>25</v>
      </c>
      <c r="V178" s="1" t="s">
        <v>9</v>
      </c>
      <c r="W178" s="1">
        <v>4831</v>
      </c>
      <c r="X178" s="1">
        <v>5</v>
      </c>
    </row>
    <row r="179" spans="20:24" x14ac:dyDescent="0.25">
      <c r="T179" s="1" t="s">
        <v>13</v>
      </c>
      <c r="U179" s="1" t="s">
        <v>15</v>
      </c>
      <c r="V179" s="1" t="s">
        <v>14</v>
      </c>
      <c r="W179" s="1">
        <v>4158</v>
      </c>
      <c r="X179" s="1">
        <v>5</v>
      </c>
    </row>
    <row r="180" spans="20:24" x14ac:dyDescent="0.25">
      <c r="T180" s="1" t="s">
        <v>13</v>
      </c>
      <c r="U180" s="1" t="s">
        <v>6</v>
      </c>
      <c r="V180" s="1" t="s">
        <v>7</v>
      </c>
      <c r="W180" s="1">
        <v>4414</v>
      </c>
      <c r="X180" s="1">
        <v>1</v>
      </c>
    </row>
    <row r="181" spans="20:24" x14ac:dyDescent="0.25">
      <c r="T181" s="1" t="s">
        <v>8</v>
      </c>
      <c r="U181" s="1" t="s">
        <v>6</v>
      </c>
      <c r="V181" s="1" t="s">
        <v>12</v>
      </c>
      <c r="W181" s="1">
        <v>4009</v>
      </c>
      <c r="X181" s="1">
        <v>1</v>
      </c>
    </row>
    <row r="182" spans="20:24" x14ac:dyDescent="0.25">
      <c r="T182" s="1" t="s">
        <v>11</v>
      </c>
      <c r="U182" s="1" t="s">
        <v>25</v>
      </c>
      <c r="V182" s="1" t="s">
        <v>14</v>
      </c>
      <c r="W182" s="1">
        <v>4596</v>
      </c>
      <c r="X182" s="1">
        <v>1</v>
      </c>
    </row>
    <row r="183" spans="20:24" x14ac:dyDescent="0.25">
      <c r="T183" s="1" t="s">
        <v>11</v>
      </c>
      <c r="U183" s="1" t="s">
        <v>6</v>
      </c>
      <c r="V183" s="1" t="s">
        <v>7</v>
      </c>
      <c r="W183" s="1">
        <v>5085</v>
      </c>
      <c r="X183" s="1">
        <v>3</v>
      </c>
    </row>
    <row r="184" spans="20:24" x14ac:dyDescent="0.25">
      <c r="T184" s="1" t="s">
        <v>13</v>
      </c>
      <c r="U184" s="1" t="s">
        <v>6</v>
      </c>
      <c r="V184" s="1" t="s">
        <v>9</v>
      </c>
      <c r="W184" s="1">
        <v>4021</v>
      </c>
      <c r="X184" s="1">
        <v>2</v>
      </c>
    </row>
    <row r="185" spans="20:24" x14ac:dyDescent="0.25">
      <c r="T185" s="1" t="s">
        <v>11</v>
      </c>
      <c r="U185" s="1" t="s">
        <v>25</v>
      </c>
      <c r="V185" s="1" t="s">
        <v>9</v>
      </c>
      <c r="W185" s="1">
        <v>4891</v>
      </c>
      <c r="X185" s="1">
        <v>1</v>
      </c>
    </row>
    <row r="186" spans="20:24" x14ac:dyDescent="0.25">
      <c r="T186" s="1" t="s">
        <v>13</v>
      </c>
      <c r="U186" s="1" t="s">
        <v>6</v>
      </c>
      <c r="V186" s="1" t="s">
        <v>9</v>
      </c>
      <c r="W186" s="1">
        <v>4984</v>
      </c>
      <c r="X186" s="1">
        <v>5</v>
      </c>
    </row>
    <row r="187" spans="20:24" x14ac:dyDescent="0.25">
      <c r="T187" s="1" t="s">
        <v>10</v>
      </c>
      <c r="U187" s="1" t="s">
        <v>26</v>
      </c>
      <c r="V187" s="1" t="s">
        <v>7</v>
      </c>
      <c r="W187" s="1">
        <v>4200</v>
      </c>
      <c r="X187" s="1">
        <v>2</v>
      </c>
    </row>
    <row r="188" spans="20:24" x14ac:dyDescent="0.25">
      <c r="T188" s="1" t="s">
        <v>13</v>
      </c>
      <c r="U188" s="1" t="s">
        <v>15</v>
      </c>
      <c r="V188" s="1" t="s">
        <v>12</v>
      </c>
      <c r="W188" s="1">
        <v>4459</v>
      </c>
      <c r="X188" s="1">
        <v>3</v>
      </c>
    </row>
    <row r="189" spans="20:24" x14ac:dyDescent="0.25">
      <c r="T189" s="1" t="s">
        <v>11</v>
      </c>
      <c r="U189" s="1" t="s">
        <v>6</v>
      </c>
      <c r="V189" s="1" t="s">
        <v>7</v>
      </c>
      <c r="W189" s="1">
        <v>4180</v>
      </c>
      <c r="X189" s="1">
        <v>3</v>
      </c>
    </row>
    <row r="190" spans="20:24" x14ac:dyDescent="0.25">
      <c r="T190" s="1" t="s">
        <v>11</v>
      </c>
      <c r="U190" s="1" t="s">
        <v>25</v>
      </c>
      <c r="V190" s="1" t="s">
        <v>7</v>
      </c>
      <c r="W190" s="1">
        <v>4387</v>
      </c>
      <c r="X190" s="1">
        <v>1</v>
      </c>
    </row>
    <row r="191" spans="20:24" x14ac:dyDescent="0.25">
      <c r="T191" s="1" t="s">
        <v>13</v>
      </c>
      <c r="U191" s="1" t="s">
        <v>15</v>
      </c>
      <c r="V191" s="1" t="s">
        <v>14</v>
      </c>
      <c r="W191" s="1">
        <v>4083</v>
      </c>
      <c r="X191" s="1">
        <v>5</v>
      </c>
    </row>
    <row r="192" spans="20:24" x14ac:dyDescent="0.25">
      <c r="T192" s="1" t="s">
        <v>10</v>
      </c>
      <c r="U192" s="1" t="s">
        <v>26</v>
      </c>
      <c r="V192" s="1" t="s">
        <v>12</v>
      </c>
      <c r="W192" s="1">
        <v>5371</v>
      </c>
      <c r="X192" s="1">
        <v>1</v>
      </c>
    </row>
    <row r="193" spans="20:24" x14ac:dyDescent="0.25">
      <c r="T193" s="1" t="s">
        <v>8</v>
      </c>
      <c r="U193" s="1" t="s">
        <v>15</v>
      </c>
      <c r="V193" s="1" t="s">
        <v>12</v>
      </c>
      <c r="W193" s="1">
        <v>4636</v>
      </c>
      <c r="X193" s="1">
        <v>2</v>
      </c>
    </row>
    <row r="194" spans="20:24" x14ac:dyDescent="0.25">
      <c r="T194" s="1" t="s">
        <v>13</v>
      </c>
      <c r="U194" s="1" t="s">
        <v>25</v>
      </c>
      <c r="V194" s="1" t="s">
        <v>9</v>
      </c>
      <c r="W194" s="1">
        <v>5082</v>
      </c>
      <c r="X194" s="1">
        <v>2</v>
      </c>
    </row>
    <row r="195" spans="20:24" x14ac:dyDescent="0.25">
      <c r="T195" s="1" t="s">
        <v>13</v>
      </c>
      <c r="U195" s="1" t="s">
        <v>25</v>
      </c>
      <c r="V195" s="1" t="s">
        <v>12</v>
      </c>
      <c r="W195" s="1">
        <v>4277</v>
      </c>
      <c r="X195" s="1">
        <v>1</v>
      </c>
    </row>
    <row r="196" spans="20:24" x14ac:dyDescent="0.25">
      <c r="T196" s="1" t="s">
        <v>8</v>
      </c>
      <c r="U196" s="1" t="s">
        <v>6</v>
      </c>
      <c r="V196" s="1" t="s">
        <v>9</v>
      </c>
      <c r="W196" s="1">
        <v>4194</v>
      </c>
      <c r="X196" s="1">
        <v>5</v>
      </c>
    </row>
    <row r="197" spans="20:24" x14ac:dyDescent="0.25">
      <c r="T197" s="1" t="s">
        <v>5</v>
      </c>
      <c r="U197" s="1" t="s">
        <v>25</v>
      </c>
      <c r="V197" s="1" t="s">
        <v>9</v>
      </c>
      <c r="W197" s="1">
        <v>4072</v>
      </c>
      <c r="X197" s="1">
        <v>3</v>
      </c>
    </row>
    <row r="198" spans="20:24" x14ac:dyDescent="0.25">
      <c r="T198" s="1" t="s">
        <v>8</v>
      </c>
      <c r="U198" s="1" t="s">
        <v>26</v>
      </c>
      <c r="V198" s="1" t="s">
        <v>14</v>
      </c>
      <c r="W198" s="1">
        <v>5402</v>
      </c>
      <c r="X198" s="1">
        <v>4</v>
      </c>
    </row>
    <row r="199" spans="20:24" x14ac:dyDescent="0.25">
      <c r="T199" s="1" t="s">
        <v>11</v>
      </c>
      <c r="U199" s="1" t="s">
        <v>25</v>
      </c>
      <c r="V199" s="1" t="s">
        <v>14</v>
      </c>
      <c r="W199" s="1">
        <v>4594</v>
      </c>
      <c r="X199" s="1">
        <v>4</v>
      </c>
    </row>
    <row r="200" spans="20:24" x14ac:dyDescent="0.25">
      <c r="T200" s="1" t="s">
        <v>8</v>
      </c>
      <c r="U200" s="1" t="s">
        <v>6</v>
      </c>
      <c r="V200" s="1" t="s">
        <v>12</v>
      </c>
      <c r="W200" s="1">
        <v>5402</v>
      </c>
      <c r="X200" s="1">
        <v>2</v>
      </c>
    </row>
    <row r="201" spans="20:24" x14ac:dyDescent="0.25">
      <c r="T201" s="1" t="s">
        <v>10</v>
      </c>
      <c r="U201" s="1" t="s">
        <v>6</v>
      </c>
      <c r="V201" s="1" t="s">
        <v>12</v>
      </c>
      <c r="W201" s="1">
        <v>4429</v>
      </c>
      <c r="X201" s="1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2B388-F956-4A7E-9206-0809F04CC53C}">
  <dimension ref="A1:E201"/>
  <sheetViews>
    <sheetView topLeftCell="A183" workbookViewId="0">
      <selection sqref="A1:E201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13</v>
      </c>
      <c r="B2" t="s">
        <v>25</v>
      </c>
      <c r="C2" t="s">
        <v>12</v>
      </c>
      <c r="D2">
        <v>4004</v>
      </c>
      <c r="E2">
        <v>2</v>
      </c>
    </row>
    <row r="3" spans="1:5" x14ac:dyDescent="0.25">
      <c r="A3" t="s">
        <v>13</v>
      </c>
      <c r="B3" t="s">
        <v>15</v>
      </c>
      <c r="C3" t="s">
        <v>14</v>
      </c>
      <c r="D3">
        <v>4138</v>
      </c>
      <c r="E3">
        <v>2</v>
      </c>
    </row>
    <row r="4" spans="1:5" x14ac:dyDescent="0.25">
      <c r="A4" t="s">
        <v>5</v>
      </c>
      <c r="B4" t="s">
        <v>15</v>
      </c>
      <c r="C4" t="s">
        <v>12</v>
      </c>
      <c r="D4">
        <v>4840</v>
      </c>
      <c r="E4">
        <v>1</v>
      </c>
    </row>
    <row r="5" spans="1:5" x14ac:dyDescent="0.25">
      <c r="A5" t="s">
        <v>5</v>
      </c>
      <c r="B5" t="s">
        <v>15</v>
      </c>
      <c r="C5" t="s">
        <v>14</v>
      </c>
      <c r="D5">
        <v>4398</v>
      </c>
      <c r="E5">
        <v>4</v>
      </c>
    </row>
    <row r="6" spans="1:5" x14ac:dyDescent="0.25">
      <c r="A6" t="s">
        <v>10</v>
      </c>
      <c r="B6" t="s">
        <v>26</v>
      </c>
      <c r="C6" t="s">
        <v>9</v>
      </c>
      <c r="D6">
        <v>5208</v>
      </c>
      <c r="E6">
        <v>2</v>
      </c>
    </row>
    <row r="7" spans="1:5" x14ac:dyDescent="0.25">
      <c r="A7" t="s">
        <v>5</v>
      </c>
      <c r="B7" t="s">
        <v>6</v>
      </c>
      <c r="C7" t="s">
        <v>7</v>
      </c>
      <c r="D7">
        <v>4786</v>
      </c>
      <c r="E7">
        <v>4</v>
      </c>
    </row>
    <row r="8" spans="1:5" x14ac:dyDescent="0.25">
      <c r="A8" t="s">
        <v>13</v>
      </c>
      <c r="B8" t="s">
        <v>25</v>
      </c>
      <c r="C8" t="s">
        <v>7</v>
      </c>
      <c r="D8">
        <v>4441</v>
      </c>
      <c r="E8">
        <v>2</v>
      </c>
    </row>
    <row r="9" spans="1:5" x14ac:dyDescent="0.25">
      <c r="A9" t="s">
        <v>8</v>
      </c>
      <c r="B9" t="s">
        <v>6</v>
      </c>
      <c r="C9" t="s">
        <v>9</v>
      </c>
      <c r="D9">
        <v>5182</v>
      </c>
      <c r="E9">
        <v>4</v>
      </c>
    </row>
    <row r="10" spans="1:5" x14ac:dyDescent="0.25">
      <c r="A10" t="s">
        <v>5</v>
      </c>
      <c r="B10" t="s">
        <v>25</v>
      </c>
      <c r="C10" t="s">
        <v>14</v>
      </c>
      <c r="D10">
        <v>4702</v>
      </c>
      <c r="E10">
        <v>1</v>
      </c>
    </row>
    <row r="11" spans="1:5" x14ac:dyDescent="0.25">
      <c r="A11" t="s">
        <v>8</v>
      </c>
      <c r="B11" t="s">
        <v>26</v>
      </c>
      <c r="C11" t="s">
        <v>7</v>
      </c>
      <c r="D11">
        <v>4983</v>
      </c>
      <c r="E11">
        <v>4</v>
      </c>
    </row>
    <row r="12" spans="1:5" x14ac:dyDescent="0.25">
      <c r="A12" t="s">
        <v>5</v>
      </c>
      <c r="B12" t="s">
        <v>25</v>
      </c>
      <c r="C12" t="s">
        <v>14</v>
      </c>
      <c r="D12">
        <v>4000</v>
      </c>
      <c r="E12">
        <v>2</v>
      </c>
    </row>
    <row r="13" spans="1:5" x14ac:dyDescent="0.25">
      <c r="A13" t="s">
        <v>13</v>
      </c>
      <c r="B13" t="s">
        <v>26</v>
      </c>
      <c r="C13" t="s">
        <v>12</v>
      </c>
      <c r="D13">
        <v>5146</v>
      </c>
      <c r="E13">
        <v>4</v>
      </c>
    </row>
    <row r="14" spans="1:5" x14ac:dyDescent="0.25">
      <c r="A14" t="s">
        <v>8</v>
      </c>
      <c r="B14" t="s">
        <v>15</v>
      </c>
      <c r="C14" t="s">
        <v>7</v>
      </c>
      <c r="D14">
        <v>4617</v>
      </c>
      <c r="E14">
        <v>5</v>
      </c>
    </row>
    <row r="15" spans="1:5" x14ac:dyDescent="0.25">
      <c r="A15" t="s">
        <v>5</v>
      </c>
      <c r="B15" t="s">
        <v>6</v>
      </c>
      <c r="C15" t="s">
        <v>9</v>
      </c>
      <c r="D15">
        <v>4599</v>
      </c>
      <c r="E15">
        <v>2</v>
      </c>
    </row>
    <row r="16" spans="1:5" x14ac:dyDescent="0.25">
      <c r="A16" t="s">
        <v>13</v>
      </c>
      <c r="B16" t="s">
        <v>26</v>
      </c>
      <c r="C16" t="s">
        <v>14</v>
      </c>
      <c r="D16">
        <v>4505</v>
      </c>
      <c r="E16">
        <v>3</v>
      </c>
    </row>
    <row r="17" spans="1:5" x14ac:dyDescent="0.25">
      <c r="A17" t="s">
        <v>13</v>
      </c>
      <c r="B17" t="s">
        <v>25</v>
      </c>
      <c r="C17" t="s">
        <v>9</v>
      </c>
      <c r="D17">
        <v>5338</v>
      </c>
      <c r="E17">
        <v>5</v>
      </c>
    </row>
    <row r="18" spans="1:5" x14ac:dyDescent="0.25">
      <c r="A18" t="s">
        <v>11</v>
      </c>
      <c r="B18" t="s">
        <v>26</v>
      </c>
      <c r="C18" t="s">
        <v>9</v>
      </c>
      <c r="D18">
        <v>5031</v>
      </c>
      <c r="E18">
        <v>2</v>
      </c>
    </row>
    <row r="19" spans="1:5" x14ac:dyDescent="0.25">
      <c r="A19" t="s">
        <v>10</v>
      </c>
      <c r="B19" t="s">
        <v>26</v>
      </c>
      <c r="C19" t="s">
        <v>12</v>
      </c>
      <c r="D19">
        <v>5378</v>
      </c>
      <c r="E19">
        <v>5</v>
      </c>
    </row>
    <row r="20" spans="1:5" x14ac:dyDescent="0.25">
      <c r="A20" t="s">
        <v>11</v>
      </c>
      <c r="B20" t="s">
        <v>26</v>
      </c>
      <c r="C20" t="s">
        <v>14</v>
      </c>
      <c r="D20">
        <v>5453</v>
      </c>
      <c r="E20">
        <v>3</v>
      </c>
    </row>
    <row r="21" spans="1:5" x14ac:dyDescent="0.25">
      <c r="A21" t="s">
        <v>13</v>
      </c>
      <c r="B21" t="s">
        <v>26</v>
      </c>
      <c r="C21" t="s">
        <v>7</v>
      </c>
      <c r="D21">
        <v>4234</v>
      </c>
      <c r="E21">
        <v>5</v>
      </c>
    </row>
    <row r="22" spans="1:5" x14ac:dyDescent="0.25">
      <c r="A22" t="s">
        <v>5</v>
      </c>
      <c r="B22" t="s">
        <v>26</v>
      </c>
      <c r="C22" t="s">
        <v>9</v>
      </c>
      <c r="D22">
        <v>4087</v>
      </c>
      <c r="E22">
        <v>2</v>
      </c>
    </row>
    <row r="23" spans="1:5" x14ac:dyDescent="0.25">
      <c r="A23" t="s">
        <v>8</v>
      </c>
      <c r="B23" t="s">
        <v>26</v>
      </c>
      <c r="C23" t="s">
        <v>14</v>
      </c>
      <c r="D23">
        <v>5044</v>
      </c>
      <c r="E23">
        <v>3</v>
      </c>
    </row>
    <row r="24" spans="1:5" x14ac:dyDescent="0.25">
      <c r="A24" t="s">
        <v>8</v>
      </c>
      <c r="B24" t="s">
        <v>25</v>
      </c>
      <c r="C24" t="s">
        <v>12</v>
      </c>
      <c r="D24">
        <v>5466</v>
      </c>
      <c r="E24">
        <v>4</v>
      </c>
    </row>
    <row r="25" spans="1:5" x14ac:dyDescent="0.25">
      <c r="A25" t="s">
        <v>5</v>
      </c>
      <c r="B25" t="s">
        <v>6</v>
      </c>
      <c r="C25" t="s">
        <v>9</v>
      </c>
      <c r="D25">
        <v>5147</v>
      </c>
      <c r="E25">
        <v>5</v>
      </c>
    </row>
    <row r="26" spans="1:5" x14ac:dyDescent="0.25">
      <c r="A26" t="s">
        <v>5</v>
      </c>
      <c r="B26" t="s">
        <v>26</v>
      </c>
      <c r="C26" t="s">
        <v>12</v>
      </c>
      <c r="D26">
        <v>5362</v>
      </c>
      <c r="E26">
        <v>5</v>
      </c>
    </row>
    <row r="27" spans="1:5" x14ac:dyDescent="0.25">
      <c r="A27" t="s">
        <v>10</v>
      </c>
      <c r="B27" t="s">
        <v>6</v>
      </c>
      <c r="C27" t="s">
        <v>7</v>
      </c>
      <c r="D27">
        <v>4040</v>
      </c>
      <c r="E27">
        <v>3</v>
      </c>
    </row>
    <row r="28" spans="1:5" x14ac:dyDescent="0.25">
      <c r="A28" t="s">
        <v>8</v>
      </c>
      <c r="B28" t="s">
        <v>26</v>
      </c>
      <c r="C28" t="s">
        <v>12</v>
      </c>
      <c r="D28">
        <v>4808</v>
      </c>
      <c r="E28">
        <v>2</v>
      </c>
    </row>
    <row r="29" spans="1:5" x14ac:dyDescent="0.25">
      <c r="A29" t="s">
        <v>11</v>
      </c>
      <c r="B29" t="s">
        <v>6</v>
      </c>
      <c r="C29" t="s">
        <v>12</v>
      </c>
      <c r="D29">
        <v>4267</v>
      </c>
      <c r="E29">
        <v>1</v>
      </c>
    </row>
    <row r="30" spans="1:5" x14ac:dyDescent="0.25">
      <c r="A30" t="s">
        <v>10</v>
      </c>
      <c r="B30" t="s">
        <v>25</v>
      </c>
      <c r="C30" t="s">
        <v>7</v>
      </c>
      <c r="D30">
        <v>5275</v>
      </c>
      <c r="E30">
        <v>4</v>
      </c>
    </row>
    <row r="31" spans="1:5" x14ac:dyDescent="0.25">
      <c r="A31" t="s">
        <v>10</v>
      </c>
      <c r="B31" t="s">
        <v>15</v>
      </c>
      <c r="C31" t="s">
        <v>7</v>
      </c>
      <c r="D31">
        <v>5072</v>
      </c>
      <c r="E31">
        <v>3</v>
      </c>
    </row>
    <row r="32" spans="1:5" x14ac:dyDescent="0.25">
      <c r="A32" t="s">
        <v>13</v>
      </c>
      <c r="B32" t="s">
        <v>15</v>
      </c>
      <c r="C32" t="s">
        <v>7</v>
      </c>
      <c r="D32">
        <v>5065</v>
      </c>
      <c r="E32">
        <v>3</v>
      </c>
    </row>
    <row r="33" spans="1:5" x14ac:dyDescent="0.25">
      <c r="A33" t="s">
        <v>11</v>
      </c>
      <c r="B33" t="s">
        <v>25</v>
      </c>
      <c r="C33" t="s">
        <v>7</v>
      </c>
      <c r="D33">
        <v>5061</v>
      </c>
      <c r="E33">
        <v>2</v>
      </c>
    </row>
    <row r="34" spans="1:5" x14ac:dyDescent="0.25">
      <c r="A34" t="s">
        <v>11</v>
      </c>
      <c r="B34" t="s">
        <v>26</v>
      </c>
      <c r="C34" t="s">
        <v>7</v>
      </c>
      <c r="D34">
        <v>4538</v>
      </c>
      <c r="E34">
        <v>2</v>
      </c>
    </row>
    <row r="35" spans="1:5" x14ac:dyDescent="0.25">
      <c r="A35" t="s">
        <v>13</v>
      </c>
      <c r="B35" t="s">
        <v>25</v>
      </c>
      <c r="C35" t="s">
        <v>7</v>
      </c>
      <c r="D35">
        <v>4610</v>
      </c>
      <c r="E35">
        <v>2</v>
      </c>
    </row>
    <row r="36" spans="1:5" x14ac:dyDescent="0.25">
      <c r="A36" t="s">
        <v>13</v>
      </c>
      <c r="B36" t="s">
        <v>25</v>
      </c>
      <c r="C36" t="s">
        <v>14</v>
      </c>
      <c r="D36">
        <v>4319</v>
      </c>
      <c r="E36">
        <v>4</v>
      </c>
    </row>
    <row r="37" spans="1:5" x14ac:dyDescent="0.25">
      <c r="A37" t="s">
        <v>8</v>
      </c>
      <c r="B37" t="s">
        <v>26</v>
      </c>
      <c r="C37" t="s">
        <v>14</v>
      </c>
      <c r="D37">
        <v>5263</v>
      </c>
      <c r="E37">
        <v>3</v>
      </c>
    </row>
    <row r="38" spans="1:5" x14ac:dyDescent="0.25">
      <c r="A38" t="s">
        <v>11</v>
      </c>
      <c r="B38" t="s">
        <v>26</v>
      </c>
      <c r="C38" t="s">
        <v>14</v>
      </c>
      <c r="D38">
        <v>4962</v>
      </c>
      <c r="E38">
        <v>2</v>
      </c>
    </row>
    <row r="39" spans="1:5" x14ac:dyDescent="0.25">
      <c r="A39" t="s">
        <v>11</v>
      </c>
      <c r="B39" t="s">
        <v>15</v>
      </c>
      <c r="C39" t="s">
        <v>9</v>
      </c>
      <c r="D39">
        <v>5473</v>
      </c>
      <c r="E39">
        <v>1</v>
      </c>
    </row>
    <row r="40" spans="1:5" x14ac:dyDescent="0.25">
      <c r="A40" t="s">
        <v>10</v>
      </c>
      <c r="B40" t="s">
        <v>15</v>
      </c>
      <c r="C40" t="s">
        <v>7</v>
      </c>
      <c r="D40">
        <v>4708</v>
      </c>
      <c r="E40">
        <v>5</v>
      </c>
    </row>
    <row r="41" spans="1:5" x14ac:dyDescent="0.25">
      <c r="A41" t="s">
        <v>11</v>
      </c>
      <c r="B41" t="s">
        <v>25</v>
      </c>
      <c r="C41" t="s">
        <v>12</v>
      </c>
      <c r="D41">
        <v>5006</v>
      </c>
      <c r="E41">
        <v>5</v>
      </c>
    </row>
    <row r="42" spans="1:5" x14ac:dyDescent="0.25">
      <c r="A42" t="s">
        <v>5</v>
      </c>
      <c r="B42" t="s">
        <v>25</v>
      </c>
      <c r="C42" t="s">
        <v>12</v>
      </c>
      <c r="D42">
        <v>4056</v>
      </c>
      <c r="E42">
        <v>5</v>
      </c>
    </row>
    <row r="43" spans="1:5" x14ac:dyDescent="0.25">
      <c r="A43" t="s">
        <v>13</v>
      </c>
      <c r="B43" t="s">
        <v>15</v>
      </c>
      <c r="C43" t="s">
        <v>14</v>
      </c>
      <c r="D43">
        <v>5022</v>
      </c>
      <c r="E43">
        <v>1</v>
      </c>
    </row>
    <row r="44" spans="1:5" x14ac:dyDescent="0.25">
      <c r="A44" t="s">
        <v>13</v>
      </c>
      <c r="B44" t="s">
        <v>6</v>
      </c>
      <c r="C44" t="s">
        <v>7</v>
      </c>
      <c r="D44">
        <v>4107</v>
      </c>
      <c r="E44">
        <v>3</v>
      </c>
    </row>
    <row r="45" spans="1:5" x14ac:dyDescent="0.25">
      <c r="A45" t="s">
        <v>13</v>
      </c>
      <c r="B45" t="s">
        <v>26</v>
      </c>
      <c r="C45" t="s">
        <v>9</v>
      </c>
      <c r="D45">
        <v>4845</v>
      </c>
      <c r="E45">
        <v>4</v>
      </c>
    </row>
    <row r="46" spans="1:5" x14ac:dyDescent="0.25">
      <c r="A46" t="s">
        <v>11</v>
      </c>
      <c r="B46" t="s">
        <v>26</v>
      </c>
      <c r="C46" t="s">
        <v>14</v>
      </c>
      <c r="D46">
        <v>5106</v>
      </c>
      <c r="E46">
        <v>4</v>
      </c>
    </row>
    <row r="47" spans="1:5" x14ac:dyDescent="0.25">
      <c r="A47" t="s">
        <v>13</v>
      </c>
      <c r="B47" t="s">
        <v>26</v>
      </c>
      <c r="C47" t="s">
        <v>14</v>
      </c>
      <c r="D47">
        <v>4286</v>
      </c>
      <c r="E47">
        <v>3</v>
      </c>
    </row>
    <row r="48" spans="1:5" x14ac:dyDescent="0.25">
      <c r="A48" t="s">
        <v>10</v>
      </c>
      <c r="B48" t="s">
        <v>15</v>
      </c>
      <c r="C48" t="s">
        <v>14</v>
      </c>
      <c r="D48">
        <v>5430</v>
      </c>
      <c r="E48">
        <v>5</v>
      </c>
    </row>
    <row r="49" spans="1:5" x14ac:dyDescent="0.25">
      <c r="A49" t="s">
        <v>5</v>
      </c>
      <c r="B49" t="s">
        <v>6</v>
      </c>
      <c r="C49" t="s">
        <v>7</v>
      </c>
      <c r="D49">
        <v>4903</v>
      </c>
      <c r="E49">
        <v>3</v>
      </c>
    </row>
    <row r="50" spans="1:5" x14ac:dyDescent="0.25">
      <c r="A50" t="s">
        <v>11</v>
      </c>
      <c r="B50" t="s">
        <v>25</v>
      </c>
      <c r="C50" t="s">
        <v>7</v>
      </c>
      <c r="D50">
        <v>4823</v>
      </c>
      <c r="E50">
        <v>4</v>
      </c>
    </row>
    <row r="51" spans="1:5" x14ac:dyDescent="0.25">
      <c r="A51" t="s">
        <v>11</v>
      </c>
      <c r="B51" t="s">
        <v>26</v>
      </c>
      <c r="C51" t="s">
        <v>14</v>
      </c>
      <c r="D51">
        <v>4253</v>
      </c>
      <c r="E51">
        <v>2</v>
      </c>
    </row>
    <row r="52" spans="1:5" x14ac:dyDescent="0.25">
      <c r="A52" t="s">
        <v>10</v>
      </c>
      <c r="B52" t="s">
        <v>26</v>
      </c>
      <c r="C52" t="s">
        <v>7</v>
      </c>
      <c r="D52">
        <v>4236</v>
      </c>
      <c r="E52">
        <v>3</v>
      </c>
    </row>
    <row r="53" spans="1:5" x14ac:dyDescent="0.25">
      <c r="A53" t="s">
        <v>11</v>
      </c>
      <c r="B53" t="s">
        <v>15</v>
      </c>
      <c r="C53" t="s">
        <v>7</v>
      </c>
      <c r="D53">
        <v>5341</v>
      </c>
      <c r="E53">
        <v>4</v>
      </c>
    </row>
    <row r="54" spans="1:5" x14ac:dyDescent="0.25">
      <c r="A54" t="s">
        <v>11</v>
      </c>
      <c r="B54" t="s">
        <v>6</v>
      </c>
      <c r="C54" t="s">
        <v>9</v>
      </c>
      <c r="D54">
        <v>4362</v>
      </c>
      <c r="E54">
        <v>3</v>
      </c>
    </row>
    <row r="55" spans="1:5" x14ac:dyDescent="0.25">
      <c r="A55" t="s">
        <v>8</v>
      </c>
      <c r="B55" t="s">
        <v>26</v>
      </c>
      <c r="C55" t="s">
        <v>12</v>
      </c>
      <c r="D55">
        <v>4189</v>
      </c>
      <c r="E55">
        <v>5</v>
      </c>
    </row>
    <row r="56" spans="1:5" x14ac:dyDescent="0.25">
      <c r="A56" t="s">
        <v>11</v>
      </c>
      <c r="B56" t="s">
        <v>26</v>
      </c>
      <c r="C56" t="s">
        <v>7</v>
      </c>
      <c r="D56">
        <v>4691</v>
      </c>
      <c r="E56">
        <v>3</v>
      </c>
    </row>
    <row r="57" spans="1:5" x14ac:dyDescent="0.25">
      <c r="A57" t="s">
        <v>11</v>
      </c>
      <c r="B57" t="s">
        <v>15</v>
      </c>
      <c r="C57" t="s">
        <v>9</v>
      </c>
      <c r="D57">
        <v>5398</v>
      </c>
      <c r="E57">
        <v>3</v>
      </c>
    </row>
    <row r="58" spans="1:5" x14ac:dyDescent="0.25">
      <c r="A58" t="s">
        <v>8</v>
      </c>
      <c r="B58" t="s">
        <v>6</v>
      </c>
      <c r="C58" t="s">
        <v>12</v>
      </c>
      <c r="D58">
        <v>4058</v>
      </c>
      <c r="E58">
        <v>4</v>
      </c>
    </row>
    <row r="59" spans="1:5" x14ac:dyDescent="0.25">
      <c r="A59" t="s">
        <v>13</v>
      </c>
      <c r="B59" t="s">
        <v>15</v>
      </c>
      <c r="C59" t="s">
        <v>9</v>
      </c>
      <c r="D59">
        <v>4790</v>
      </c>
      <c r="E59">
        <v>2</v>
      </c>
    </row>
    <row r="60" spans="1:5" x14ac:dyDescent="0.25">
      <c r="A60" t="s">
        <v>8</v>
      </c>
      <c r="B60" t="s">
        <v>15</v>
      </c>
      <c r="C60" t="s">
        <v>9</v>
      </c>
      <c r="D60">
        <v>4652</v>
      </c>
      <c r="E60">
        <v>4</v>
      </c>
    </row>
    <row r="61" spans="1:5" x14ac:dyDescent="0.25">
      <c r="A61" t="s">
        <v>10</v>
      </c>
      <c r="B61" t="s">
        <v>26</v>
      </c>
      <c r="C61" t="s">
        <v>9</v>
      </c>
      <c r="D61">
        <v>4011</v>
      </c>
      <c r="E61">
        <v>5</v>
      </c>
    </row>
    <row r="62" spans="1:5" x14ac:dyDescent="0.25">
      <c r="A62" t="s">
        <v>8</v>
      </c>
      <c r="B62" t="s">
        <v>6</v>
      </c>
      <c r="C62" t="s">
        <v>9</v>
      </c>
      <c r="D62">
        <v>4795</v>
      </c>
      <c r="E62">
        <v>1</v>
      </c>
    </row>
    <row r="63" spans="1:5" x14ac:dyDescent="0.25">
      <c r="A63" t="s">
        <v>10</v>
      </c>
      <c r="B63" t="s">
        <v>25</v>
      </c>
      <c r="C63" t="s">
        <v>12</v>
      </c>
      <c r="D63">
        <v>4321</v>
      </c>
      <c r="E63">
        <v>2</v>
      </c>
    </row>
    <row r="64" spans="1:5" x14ac:dyDescent="0.25">
      <c r="A64" t="s">
        <v>8</v>
      </c>
      <c r="B64" t="s">
        <v>15</v>
      </c>
      <c r="C64" t="s">
        <v>9</v>
      </c>
      <c r="D64">
        <v>4040</v>
      </c>
      <c r="E64">
        <v>3</v>
      </c>
    </row>
    <row r="65" spans="1:5" x14ac:dyDescent="0.25">
      <c r="A65" t="s">
        <v>8</v>
      </c>
      <c r="B65" t="s">
        <v>26</v>
      </c>
      <c r="C65" t="s">
        <v>14</v>
      </c>
      <c r="D65">
        <v>5191</v>
      </c>
      <c r="E65">
        <v>5</v>
      </c>
    </row>
    <row r="66" spans="1:5" x14ac:dyDescent="0.25">
      <c r="A66" t="s">
        <v>13</v>
      </c>
      <c r="B66" t="s">
        <v>26</v>
      </c>
      <c r="C66" t="s">
        <v>9</v>
      </c>
      <c r="D66">
        <v>4252</v>
      </c>
      <c r="E66">
        <v>1</v>
      </c>
    </row>
    <row r="67" spans="1:5" x14ac:dyDescent="0.25">
      <c r="A67" t="s">
        <v>11</v>
      </c>
      <c r="B67" t="s">
        <v>15</v>
      </c>
      <c r="C67" t="s">
        <v>12</v>
      </c>
      <c r="D67">
        <v>4204</v>
      </c>
      <c r="E67">
        <v>2</v>
      </c>
    </row>
    <row r="68" spans="1:5" x14ac:dyDescent="0.25">
      <c r="A68" t="s">
        <v>11</v>
      </c>
      <c r="B68" t="s">
        <v>15</v>
      </c>
      <c r="C68" t="s">
        <v>14</v>
      </c>
      <c r="D68">
        <v>4277</v>
      </c>
      <c r="E68">
        <v>2</v>
      </c>
    </row>
    <row r="69" spans="1:5" x14ac:dyDescent="0.25">
      <c r="A69" t="s">
        <v>10</v>
      </c>
      <c r="B69" t="s">
        <v>15</v>
      </c>
      <c r="C69" t="s">
        <v>7</v>
      </c>
      <c r="D69">
        <v>4636</v>
      </c>
      <c r="E69">
        <v>1</v>
      </c>
    </row>
    <row r="70" spans="1:5" x14ac:dyDescent="0.25">
      <c r="A70" t="s">
        <v>5</v>
      </c>
      <c r="B70" t="s">
        <v>26</v>
      </c>
      <c r="C70" t="s">
        <v>12</v>
      </c>
      <c r="D70">
        <v>4813</v>
      </c>
      <c r="E70">
        <v>1</v>
      </c>
    </row>
    <row r="71" spans="1:5" x14ac:dyDescent="0.25">
      <c r="A71" t="s">
        <v>8</v>
      </c>
      <c r="B71" t="s">
        <v>15</v>
      </c>
      <c r="C71" t="s">
        <v>14</v>
      </c>
      <c r="D71">
        <v>4099</v>
      </c>
      <c r="E71">
        <v>5</v>
      </c>
    </row>
    <row r="72" spans="1:5" x14ac:dyDescent="0.25">
      <c r="A72" t="s">
        <v>10</v>
      </c>
      <c r="B72" t="s">
        <v>15</v>
      </c>
      <c r="C72" t="s">
        <v>12</v>
      </c>
      <c r="D72">
        <v>4626</v>
      </c>
      <c r="E72">
        <v>3</v>
      </c>
    </row>
    <row r="73" spans="1:5" x14ac:dyDescent="0.25">
      <c r="A73" t="s">
        <v>13</v>
      </c>
      <c r="B73" t="s">
        <v>26</v>
      </c>
      <c r="C73" t="s">
        <v>7</v>
      </c>
      <c r="D73">
        <v>4580</v>
      </c>
      <c r="E73">
        <v>4</v>
      </c>
    </row>
    <row r="74" spans="1:5" x14ac:dyDescent="0.25">
      <c r="A74" t="s">
        <v>13</v>
      </c>
      <c r="B74" t="s">
        <v>15</v>
      </c>
      <c r="C74" t="s">
        <v>9</v>
      </c>
      <c r="D74">
        <v>4723</v>
      </c>
      <c r="E74">
        <v>5</v>
      </c>
    </row>
    <row r="75" spans="1:5" x14ac:dyDescent="0.25">
      <c r="A75" t="s">
        <v>10</v>
      </c>
      <c r="B75" t="s">
        <v>26</v>
      </c>
      <c r="C75" t="s">
        <v>9</v>
      </c>
      <c r="D75">
        <v>4645</v>
      </c>
      <c r="E75">
        <v>4</v>
      </c>
    </row>
    <row r="76" spans="1:5" x14ac:dyDescent="0.25">
      <c r="A76" t="s">
        <v>13</v>
      </c>
      <c r="B76" t="s">
        <v>25</v>
      </c>
      <c r="C76" t="s">
        <v>9</v>
      </c>
      <c r="D76">
        <v>4978</v>
      </c>
      <c r="E76">
        <v>4</v>
      </c>
    </row>
    <row r="77" spans="1:5" x14ac:dyDescent="0.25">
      <c r="A77" t="s">
        <v>10</v>
      </c>
      <c r="B77" t="s">
        <v>26</v>
      </c>
      <c r="C77" t="s">
        <v>12</v>
      </c>
      <c r="D77">
        <v>4025</v>
      </c>
      <c r="E77">
        <v>2</v>
      </c>
    </row>
    <row r="78" spans="1:5" x14ac:dyDescent="0.25">
      <c r="A78" t="s">
        <v>10</v>
      </c>
      <c r="B78" t="s">
        <v>26</v>
      </c>
      <c r="C78" t="s">
        <v>9</v>
      </c>
      <c r="D78">
        <v>4066</v>
      </c>
      <c r="E78">
        <v>5</v>
      </c>
    </row>
    <row r="79" spans="1:5" x14ac:dyDescent="0.25">
      <c r="A79" t="s">
        <v>11</v>
      </c>
      <c r="B79" t="s">
        <v>26</v>
      </c>
      <c r="C79" t="s">
        <v>14</v>
      </c>
      <c r="D79">
        <v>4581</v>
      </c>
      <c r="E79">
        <v>1</v>
      </c>
    </row>
    <row r="80" spans="1:5" x14ac:dyDescent="0.25">
      <c r="A80" t="s">
        <v>11</v>
      </c>
      <c r="B80" t="s">
        <v>26</v>
      </c>
      <c r="C80" t="s">
        <v>14</v>
      </c>
      <c r="D80">
        <v>4537</v>
      </c>
      <c r="E80">
        <v>1</v>
      </c>
    </row>
    <row r="81" spans="1:5" x14ac:dyDescent="0.25">
      <c r="A81" t="s">
        <v>8</v>
      </c>
      <c r="B81" t="s">
        <v>6</v>
      </c>
      <c r="C81" t="s">
        <v>14</v>
      </c>
      <c r="D81">
        <v>4662</v>
      </c>
      <c r="E81">
        <v>4</v>
      </c>
    </row>
    <row r="82" spans="1:5" x14ac:dyDescent="0.25">
      <c r="A82" t="s">
        <v>13</v>
      </c>
      <c r="B82" t="s">
        <v>26</v>
      </c>
      <c r="C82" t="s">
        <v>12</v>
      </c>
      <c r="D82">
        <v>4101</v>
      </c>
      <c r="E82">
        <v>1</v>
      </c>
    </row>
    <row r="83" spans="1:5" x14ac:dyDescent="0.25">
      <c r="A83" t="s">
        <v>11</v>
      </c>
      <c r="B83" t="s">
        <v>6</v>
      </c>
      <c r="C83" t="s">
        <v>9</v>
      </c>
      <c r="D83">
        <v>4731</v>
      </c>
      <c r="E83">
        <v>3</v>
      </c>
    </row>
    <row r="84" spans="1:5" x14ac:dyDescent="0.25">
      <c r="A84" t="s">
        <v>13</v>
      </c>
      <c r="B84" t="s">
        <v>26</v>
      </c>
      <c r="C84" t="s">
        <v>9</v>
      </c>
      <c r="D84">
        <v>4880</v>
      </c>
      <c r="E84">
        <v>4</v>
      </c>
    </row>
    <row r="85" spans="1:5" x14ac:dyDescent="0.25">
      <c r="A85" t="s">
        <v>13</v>
      </c>
      <c r="B85" t="s">
        <v>26</v>
      </c>
      <c r="C85" t="s">
        <v>12</v>
      </c>
      <c r="D85">
        <v>4229</v>
      </c>
      <c r="E85">
        <v>1</v>
      </c>
    </row>
    <row r="86" spans="1:5" x14ac:dyDescent="0.25">
      <c r="A86" t="s">
        <v>10</v>
      </c>
      <c r="B86" t="s">
        <v>6</v>
      </c>
      <c r="C86" t="s">
        <v>14</v>
      </c>
      <c r="D86">
        <v>4769</v>
      </c>
      <c r="E86">
        <v>2</v>
      </c>
    </row>
    <row r="87" spans="1:5" x14ac:dyDescent="0.25">
      <c r="A87" t="s">
        <v>10</v>
      </c>
      <c r="B87" t="s">
        <v>6</v>
      </c>
      <c r="C87" t="s">
        <v>9</v>
      </c>
      <c r="D87">
        <v>5239</v>
      </c>
      <c r="E87">
        <v>2</v>
      </c>
    </row>
    <row r="88" spans="1:5" x14ac:dyDescent="0.25">
      <c r="A88" t="s">
        <v>5</v>
      </c>
      <c r="B88" t="s">
        <v>15</v>
      </c>
      <c r="C88" t="s">
        <v>14</v>
      </c>
      <c r="D88">
        <v>5162</v>
      </c>
      <c r="E88">
        <v>5</v>
      </c>
    </row>
    <row r="89" spans="1:5" x14ac:dyDescent="0.25">
      <c r="A89" t="s">
        <v>5</v>
      </c>
      <c r="B89" t="s">
        <v>6</v>
      </c>
      <c r="C89" t="s">
        <v>12</v>
      </c>
      <c r="D89">
        <v>5296</v>
      </c>
      <c r="E89">
        <v>1</v>
      </c>
    </row>
    <row r="90" spans="1:5" x14ac:dyDescent="0.25">
      <c r="A90" t="s">
        <v>8</v>
      </c>
      <c r="B90" t="s">
        <v>15</v>
      </c>
      <c r="C90" t="s">
        <v>9</v>
      </c>
      <c r="D90">
        <v>4462</v>
      </c>
      <c r="E90">
        <v>5</v>
      </c>
    </row>
    <row r="91" spans="1:5" x14ac:dyDescent="0.25">
      <c r="A91" t="s">
        <v>10</v>
      </c>
      <c r="B91" t="s">
        <v>25</v>
      </c>
      <c r="C91" t="s">
        <v>14</v>
      </c>
      <c r="D91">
        <v>4533</v>
      </c>
      <c r="E91">
        <v>3</v>
      </c>
    </row>
    <row r="92" spans="1:5" x14ac:dyDescent="0.25">
      <c r="A92" t="s">
        <v>5</v>
      </c>
      <c r="B92" t="s">
        <v>15</v>
      </c>
      <c r="C92" t="s">
        <v>9</v>
      </c>
      <c r="D92">
        <v>5148</v>
      </c>
      <c r="E92">
        <v>5</v>
      </c>
    </row>
    <row r="93" spans="1:5" x14ac:dyDescent="0.25">
      <c r="A93" t="s">
        <v>11</v>
      </c>
      <c r="B93" t="s">
        <v>26</v>
      </c>
      <c r="C93" t="s">
        <v>14</v>
      </c>
      <c r="D93">
        <v>4423</v>
      </c>
      <c r="E93">
        <v>4</v>
      </c>
    </row>
    <row r="94" spans="1:5" x14ac:dyDescent="0.25">
      <c r="A94" t="s">
        <v>11</v>
      </c>
      <c r="B94" t="s">
        <v>26</v>
      </c>
      <c r="C94" t="s">
        <v>14</v>
      </c>
      <c r="D94">
        <v>5241</v>
      </c>
      <c r="E94">
        <v>4</v>
      </c>
    </row>
    <row r="95" spans="1:5" x14ac:dyDescent="0.25">
      <c r="A95" t="s">
        <v>11</v>
      </c>
      <c r="B95" t="s">
        <v>25</v>
      </c>
      <c r="C95" t="s">
        <v>7</v>
      </c>
      <c r="D95">
        <v>4493</v>
      </c>
      <c r="E95">
        <v>2</v>
      </c>
    </row>
    <row r="96" spans="1:5" x14ac:dyDescent="0.25">
      <c r="A96" t="s">
        <v>8</v>
      </c>
      <c r="B96" t="s">
        <v>26</v>
      </c>
      <c r="C96" t="s">
        <v>7</v>
      </c>
      <c r="D96">
        <v>4283</v>
      </c>
      <c r="E96">
        <v>2</v>
      </c>
    </row>
    <row r="97" spans="1:5" x14ac:dyDescent="0.25">
      <c r="A97" t="s">
        <v>5</v>
      </c>
      <c r="B97" t="s">
        <v>6</v>
      </c>
      <c r="C97" t="s">
        <v>14</v>
      </c>
      <c r="D97">
        <v>5102</v>
      </c>
      <c r="E97">
        <v>3</v>
      </c>
    </row>
    <row r="98" spans="1:5" x14ac:dyDescent="0.25">
      <c r="A98" t="s">
        <v>10</v>
      </c>
      <c r="B98" t="s">
        <v>26</v>
      </c>
      <c r="C98" t="s">
        <v>12</v>
      </c>
      <c r="D98">
        <v>5359</v>
      </c>
      <c r="E98">
        <v>4</v>
      </c>
    </row>
    <row r="99" spans="1:5" x14ac:dyDescent="0.25">
      <c r="A99" t="s">
        <v>8</v>
      </c>
      <c r="B99" t="s">
        <v>25</v>
      </c>
      <c r="C99" t="s">
        <v>12</v>
      </c>
      <c r="D99">
        <v>4554</v>
      </c>
      <c r="E99">
        <v>2</v>
      </c>
    </row>
    <row r="100" spans="1:5" x14ac:dyDescent="0.25">
      <c r="A100" t="s">
        <v>11</v>
      </c>
      <c r="B100" t="s">
        <v>26</v>
      </c>
      <c r="C100" t="s">
        <v>12</v>
      </c>
      <c r="D100">
        <v>5126</v>
      </c>
      <c r="E100">
        <v>1</v>
      </c>
    </row>
    <row r="101" spans="1:5" x14ac:dyDescent="0.25">
      <c r="A101" t="s">
        <v>10</v>
      </c>
      <c r="B101" t="s">
        <v>26</v>
      </c>
      <c r="C101" t="s">
        <v>12</v>
      </c>
      <c r="D101">
        <v>4087</v>
      </c>
      <c r="E101">
        <v>5</v>
      </c>
    </row>
    <row r="102" spans="1:5" x14ac:dyDescent="0.25">
      <c r="A102" t="s">
        <v>5</v>
      </c>
      <c r="B102" t="s">
        <v>26</v>
      </c>
      <c r="C102" t="s">
        <v>7</v>
      </c>
      <c r="D102">
        <v>5009</v>
      </c>
      <c r="E102">
        <v>3</v>
      </c>
    </row>
    <row r="103" spans="1:5" x14ac:dyDescent="0.25">
      <c r="A103" t="s">
        <v>5</v>
      </c>
      <c r="B103" t="s">
        <v>25</v>
      </c>
      <c r="C103" t="s">
        <v>7</v>
      </c>
      <c r="D103">
        <v>4014</v>
      </c>
      <c r="E103">
        <v>1</v>
      </c>
    </row>
    <row r="104" spans="1:5" x14ac:dyDescent="0.25">
      <c r="A104" t="s">
        <v>13</v>
      </c>
      <c r="B104" t="s">
        <v>15</v>
      </c>
      <c r="C104" t="s">
        <v>9</v>
      </c>
      <c r="D104">
        <v>4198</v>
      </c>
      <c r="E104">
        <v>2</v>
      </c>
    </row>
    <row r="105" spans="1:5" x14ac:dyDescent="0.25">
      <c r="A105" t="s">
        <v>10</v>
      </c>
      <c r="B105" t="s">
        <v>25</v>
      </c>
      <c r="C105" t="s">
        <v>12</v>
      </c>
      <c r="D105">
        <v>4072</v>
      </c>
      <c r="E105">
        <v>1</v>
      </c>
    </row>
    <row r="106" spans="1:5" x14ac:dyDescent="0.25">
      <c r="A106" t="s">
        <v>5</v>
      </c>
      <c r="B106" t="s">
        <v>15</v>
      </c>
      <c r="C106" t="s">
        <v>9</v>
      </c>
      <c r="D106">
        <v>4350</v>
      </c>
      <c r="E106">
        <v>3</v>
      </c>
    </row>
    <row r="107" spans="1:5" x14ac:dyDescent="0.25">
      <c r="A107" t="s">
        <v>5</v>
      </c>
      <c r="B107" t="s">
        <v>15</v>
      </c>
      <c r="C107" t="s">
        <v>9</v>
      </c>
      <c r="D107">
        <v>4466</v>
      </c>
      <c r="E107">
        <v>5</v>
      </c>
    </row>
    <row r="108" spans="1:5" x14ac:dyDescent="0.25">
      <c r="A108" t="s">
        <v>13</v>
      </c>
      <c r="B108" t="s">
        <v>6</v>
      </c>
      <c r="C108" t="s">
        <v>7</v>
      </c>
      <c r="D108">
        <v>5024</v>
      </c>
      <c r="E108">
        <v>2</v>
      </c>
    </row>
    <row r="109" spans="1:5" x14ac:dyDescent="0.25">
      <c r="A109" t="s">
        <v>10</v>
      </c>
      <c r="B109" t="s">
        <v>15</v>
      </c>
      <c r="C109" t="s">
        <v>7</v>
      </c>
      <c r="D109">
        <v>5114</v>
      </c>
      <c r="E109">
        <v>2</v>
      </c>
    </row>
    <row r="110" spans="1:5" x14ac:dyDescent="0.25">
      <c r="A110" t="s">
        <v>5</v>
      </c>
      <c r="B110" t="s">
        <v>6</v>
      </c>
      <c r="C110" t="s">
        <v>14</v>
      </c>
      <c r="D110">
        <v>4142</v>
      </c>
      <c r="E110">
        <v>2</v>
      </c>
    </row>
    <row r="111" spans="1:5" x14ac:dyDescent="0.25">
      <c r="A111" t="s">
        <v>5</v>
      </c>
      <c r="B111" t="s">
        <v>15</v>
      </c>
      <c r="C111" t="s">
        <v>14</v>
      </c>
      <c r="D111">
        <v>5367</v>
      </c>
      <c r="E111">
        <v>2</v>
      </c>
    </row>
    <row r="112" spans="1:5" x14ac:dyDescent="0.25">
      <c r="A112" t="s">
        <v>11</v>
      </c>
      <c r="B112" t="s">
        <v>25</v>
      </c>
      <c r="C112" t="s">
        <v>7</v>
      </c>
      <c r="D112">
        <v>4153</v>
      </c>
      <c r="E112">
        <v>1</v>
      </c>
    </row>
    <row r="113" spans="1:5" x14ac:dyDescent="0.25">
      <c r="A113" t="s">
        <v>11</v>
      </c>
      <c r="B113" t="s">
        <v>15</v>
      </c>
      <c r="C113" t="s">
        <v>12</v>
      </c>
      <c r="D113">
        <v>4315</v>
      </c>
      <c r="E113">
        <v>4</v>
      </c>
    </row>
    <row r="114" spans="1:5" x14ac:dyDescent="0.25">
      <c r="A114" t="s">
        <v>8</v>
      </c>
      <c r="B114" t="s">
        <v>6</v>
      </c>
      <c r="C114" t="s">
        <v>14</v>
      </c>
      <c r="D114">
        <v>5229</v>
      </c>
      <c r="E114">
        <v>4</v>
      </c>
    </row>
    <row r="115" spans="1:5" x14ac:dyDescent="0.25">
      <c r="A115" t="s">
        <v>13</v>
      </c>
      <c r="B115" t="s">
        <v>25</v>
      </c>
      <c r="C115" t="s">
        <v>14</v>
      </c>
      <c r="D115">
        <v>4943</v>
      </c>
      <c r="E115">
        <v>3</v>
      </c>
    </row>
    <row r="116" spans="1:5" x14ac:dyDescent="0.25">
      <c r="A116" t="s">
        <v>8</v>
      </c>
      <c r="B116" t="s">
        <v>26</v>
      </c>
      <c r="C116" t="s">
        <v>9</v>
      </c>
      <c r="D116">
        <v>4352</v>
      </c>
      <c r="E116">
        <v>4</v>
      </c>
    </row>
    <row r="117" spans="1:5" x14ac:dyDescent="0.25">
      <c r="A117" t="s">
        <v>5</v>
      </c>
      <c r="B117" t="s">
        <v>15</v>
      </c>
      <c r="C117" t="s">
        <v>9</v>
      </c>
      <c r="D117">
        <v>4641</v>
      </c>
      <c r="E117">
        <v>5</v>
      </c>
    </row>
    <row r="118" spans="1:5" x14ac:dyDescent="0.25">
      <c r="A118" t="s">
        <v>11</v>
      </c>
      <c r="B118" t="s">
        <v>6</v>
      </c>
      <c r="C118" t="s">
        <v>7</v>
      </c>
      <c r="D118">
        <v>4357</v>
      </c>
      <c r="E118">
        <v>3</v>
      </c>
    </row>
    <row r="119" spans="1:5" x14ac:dyDescent="0.25">
      <c r="A119" t="s">
        <v>8</v>
      </c>
      <c r="B119" t="s">
        <v>6</v>
      </c>
      <c r="C119" t="s">
        <v>14</v>
      </c>
      <c r="D119">
        <v>4306</v>
      </c>
      <c r="E119">
        <v>4</v>
      </c>
    </row>
    <row r="120" spans="1:5" x14ac:dyDescent="0.25">
      <c r="A120" t="s">
        <v>13</v>
      </c>
      <c r="B120" t="s">
        <v>15</v>
      </c>
      <c r="C120" t="s">
        <v>12</v>
      </c>
      <c r="D120">
        <v>4001</v>
      </c>
      <c r="E120">
        <v>1</v>
      </c>
    </row>
    <row r="121" spans="1:5" x14ac:dyDescent="0.25">
      <c r="A121" t="s">
        <v>8</v>
      </c>
      <c r="B121" t="s">
        <v>26</v>
      </c>
      <c r="C121" t="s">
        <v>14</v>
      </c>
      <c r="D121">
        <v>5162</v>
      </c>
      <c r="E121">
        <v>5</v>
      </c>
    </row>
    <row r="122" spans="1:5" x14ac:dyDescent="0.25">
      <c r="A122" t="s">
        <v>11</v>
      </c>
      <c r="B122" t="s">
        <v>6</v>
      </c>
      <c r="C122" t="s">
        <v>12</v>
      </c>
      <c r="D122">
        <v>4770</v>
      </c>
      <c r="E122">
        <v>1</v>
      </c>
    </row>
    <row r="123" spans="1:5" x14ac:dyDescent="0.25">
      <c r="A123" t="s">
        <v>5</v>
      </c>
      <c r="B123" t="s">
        <v>26</v>
      </c>
      <c r="C123" t="s">
        <v>7</v>
      </c>
      <c r="D123">
        <v>4660</v>
      </c>
      <c r="E123">
        <v>2</v>
      </c>
    </row>
    <row r="124" spans="1:5" x14ac:dyDescent="0.25">
      <c r="A124" t="s">
        <v>11</v>
      </c>
      <c r="B124" t="s">
        <v>26</v>
      </c>
      <c r="C124" t="s">
        <v>14</v>
      </c>
      <c r="D124">
        <v>5414</v>
      </c>
      <c r="E124">
        <v>1</v>
      </c>
    </row>
    <row r="125" spans="1:5" x14ac:dyDescent="0.25">
      <c r="A125" t="s">
        <v>10</v>
      </c>
      <c r="B125" t="s">
        <v>6</v>
      </c>
      <c r="C125" t="s">
        <v>12</v>
      </c>
      <c r="D125">
        <v>4582</v>
      </c>
      <c r="E125">
        <v>5</v>
      </c>
    </row>
    <row r="126" spans="1:5" x14ac:dyDescent="0.25">
      <c r="A126" t="s">
        <v>5</v>
      </c>
      <c r="B126" t="s">
        <v>25</v>
      </c>
      <c r="C126" t="s">
        <v>9</v>
      </c>
      <c r="D126">
        <v>4311</v>
      </c>
      <c r="E126">
        <v>5</v>
      </c>
    </row>
    <row r="127" spans="1:5" x14ac:dyDescent="0.25">
      <c r="A127" t="s">
        <v>8</v>
      </c>
      <c r="B127" t="s">
        <v>25</v>
      </c>
      <c r="C127" t="s">
        <v>14</v>
      </c>
      <c r="D127">
        <v>5309</v>
      </c>
      <c r="E127">
        <v>2</v>
      </c>
    </row>
    <row r="128" spans="1:5" x14ac:dyDescent="0.25">
      <c r="A128" t="s">
        <v>10</v>
      </c>
      <c r="B128" t="s">
        <v>15</v>
      </c>
      <c r="C128" t="s">
        <v>14</v>
      </c>
      <c r="D128">
        <v>4799</v>
      </c>
      <c r="E128">
        <v>3</v>
      </c>
    </row>
    <row r="129" spans="1:5" x14ac:dyDescent="0.25">
      <c r="A129" t="s">
        <v>10</v>
      </c>
      <c r="B129" t="s">
        <v>15</v>
      </c>
      <c r="C129" t="s">
        <v>14</v>
      </c>
      <c r="D129">
        <v>4242</v>
      </c>
      <c r="E129">
        <v>1</v>
      </c>
    </row>
    <row r="130" spans="1:5" x14ac:dyDescent="0.25">
      <c r="A130" t="s">
        <v>5</v>
      </c>
      <c r="B130" t="s">
        <v>15</v>
      </c>
      <c r="C130" t="s">
        <v>12</v>
      </c>
      <c r="D130">
        <v>4810</v>
      </c>
      <c r="E130">
        <v>2</v>
      </c>
    </row>
    <row r="131" spans="1:5" x14ac:dyDescent="0.25">
      <c r="A131" t="s">
        <v>11</v>
      </c>
      <c r="B131" t="s">
        <v>25</v>
      </c>
      <c r="C131" t="s">
        <v>9</v>
      </c>
      <c r="D131">
        <v>4432</v>
      </c>
      <c r="E131">
        <v>5</v>
      </c>
    </row>
    <row r="132" spans="1:5" x14ac:dyDescent="0.25">
      <c r="A132" t="s">
        <v>10</v>
      </c>
      <c r="B132" t="s">
        <v>25</v>
      </c>
      <c r="C132" t="s">
        <v>9</v>
      </c>
      <c r="D132">
        <v>4295</v>
      </c>
      <c r="E132">
        <v>2</v>
      </c>
    </row>
    <row r="133" spans="1:5" x14ac:dyDescent="0.25">
      <c r="A133" t="s">
        <v>11</v>
      </c>
      <c r="B133" t="s">
        <v>26</v>
      </c>
      <c r="C133" t="s">
        <v>14</v>
      </c>
      <c r="D133">
        <v>4703</v>
      </c>
      <c r="E133">
        <v>4</v>
      </c>
    </row>
    <row r="134" spans="1:5" x14ac:dyDescent="0.25">
      <c r="A134" t="s">
        <v>8</v>
      </c>
      <c r="B134" t="s">
        <v>15</v>
      </c>
      <c r="C134" t="s">
        <v>7</v>
      </c>
      <c r="D134">
        <v>4192</v>
      </c>
      <c r="E134">
        <v>3</v>
      </c>
    </row>
    <row r="135" spans="1:5" x14ac:dyDescent="0.25">
      <c r="A135" t="s">
        <v>11</v>
      </c>
      <c r="B135" t="s">
        <v>26</v>
      </c>
      <c r="C135" t="s">
        <v>9</v>
      </c>
      <c r="D135">
        <v>5006</v>
      </c>
      <c r="E135">
        <v>5</v>
      </c>
    </row>
    <row r="136" spans="1:5" x14ac:dyDescent="0.25">
      <c r="A136" t="s">
        <v>13</v>
      </c>
      <c r="B136" t="s">
        <v>25</v>
      </c>
      <c r="C136" t="s">
        <v>14</v>
      </c>
      <c r="D136">
        <v>5018</v>
      </c>
      <c r="E136">
        <v>2</v>
      </c>
    </row>
    <row r="137" spans="1:5" x14ac:dyDescent="0.25">
      <c r="A137" t="s">
        <v>11</v>
      </c>
      <c r="B137" t="s">
        <v>6</v>
      </c>
      <c r="C137" t="s">
        <v>7</v>
      </c>
      <c r="D137">
        <v>4020</v>
      </c>
      <c r="E137">
        <v>4</v>
      </c>
    </row>
    <row r="138" spans="1:5" x14ac:dyDescent="0.25">
      <c r="A138" t="s">
        <v>8</v>
      </c>
      <c r="B138" t="s">
        <v>6</v>
      </c>
      <c r="C138" t="s">
        <v>14</v>
      </c>
      <c r="D138">
        <v>5431</v>
      </c>
      <c r="E138">
        <v>1</v>
      </c>
    </row>
    <row r="139" spans="1:5" x14ac:dyDescent="0.25">
      <c r="A139" t="s">
        <v>11</v>
      </c>
      <c r="B139" t="s">
        <v>26</v>
      </c>
      <c r="C139" t="s">
        <v>14</v>
      </c>
      <c r="D139">
        <v>5111</v>
      </c>
      <c r="E139">
        <v>5</v>
      </c>
    </row>
    <row r="140" spans="1:5" x14ac:dyDescent="0.25">
      <c r="A140" t="s">
        <v>8</v>
      </c>
      <c r="B140" t="s">
        <v>15</v>
      </c>
      <c r="C140" t="s">
        <v>9</v>
      </c>
      <c r="D140">
        <v>5142</v>
      </c>
      <c r="E140">
        <v>5</v>
      </c>
    </row>
    <row r="141" spans="1:5" x14ac:dyDescent="0.25">
      <c r="A141" t="s">
        <v>8</v>
      </c>
      <c r="B141" t="s">
        <v>6</v>
      </c>
      <c r="C141" t="s">
        <v>7</v>
      </c>
      <c r="D141">
        <v>4753</v>
      </c>
      <c r="E141">
        <v>3</v>
      </c>
    </row>
    <row r="142" spans="1:5" x14ac:dyDescent="0.25">
      <c r="A142" t="s">
        <v>10</v>
      </c>
      <c r="B142" t="s">
        <v>26</v>
      </c>
      <c r="C142" t="s">
        <v>7</v>
      </c>
      <c r="D142">
        <v>5228</v>
      </c>
      <c r="E142">
        <v>1</v>
      </c>
    </row>
    <row r="143" spans="1:5" x14ac:dyDescent="0.25">
      <c r="A143" t="s">
        <v>10</v>
      </c>
      <c r="B143" t="s">
        <v>25</v>
      </c>
      <c r="C143" t="s">
        <v>7</v>
      </c>
      <c r="D143">
        <v>4748</v>
      </c>
      <c r="E143">
        <v>5</v>
      </c>
    </row>
    <row r="144" spans="1:5" x14ac:dyDescent="0.25">
      <c r="A144" t="s">
        <v>13</v>
      </c>
      <c r="B144" t="s">
        <v>25</v>
      </c>
      <c r="C144" t="s">
        <v>12</v>
      </c>
      <c r="D144">
        <v>4430</v>
      </c>
      <c r="E144">
        <v>4</v>
      </c>
    </row>
    <row r="145" spans="1:5" x14ac:dyDescent="0.25">
      <c r="A145" t="s">
        <v>11</v>
      </c>
      <c r="B145" t="s">
        <v>26</v>
      </c>
      <c r="C145" t="s">
        <v>14</v>
      </c>
      <c r="D145">
        <v>4836</v>
      </c>
      <c r="E145">
        <v>2</v>
      </c>
    </row>
    <row r="146" spans="1:5" x14ac:dyDescent="0.25">
      <c r="A146" t="s">
        <v>5</v>
      </c>
      <c r="B146" t="s">
        <v>15</v>
      </c>
      <c r="C146" t="s">
        <v>7</v>
      </c>
      <c r="D146">
        <v>4813</v>
      </c>
      <c r="E146">
        <v>4</v>
      </c>
    </row>
    <row r="147" spans="1:5" x14ac:dyDescent="0.25">
      <c r="A147" t="s">
        <v>10</v>
      </c>
      <c r="B147" t="s">
        <v>6</v>
      </c>
      <c r="C147" t="s">
        <v>12</v>
      </c>
      <c r="D147">
        <v>5360</v>
      </c>
      <c r="E147">
        <v>3</v>
      </c>
    </row>
    <row r="148" spans="1:5" x14ac:dyDescent="0.25">
      <c r="A148" t="s">
        <v>8</v>
      </c>
      <c r="B148" t="s">
        <v>15</v>
      </c>
      <c r="C148" t="s">
        <v>12</v>
      </c>
      <c r="D148">
        <v>4257</v>
      </c>
      <c r="E148">
        <v>2</v>
      </c>
    </row>
    <row r="149" spans="1:5" x14ac:dyDescent="0.25">
      <c r="A149" t="s">
        <v>8</v>
      </c>
      <c r="B149" t="s">
        <v>6</v>
      </c>
      <c r="C149" t="s">
        <v>9</v>
      </c>
      <c r="D149">
        <v>5240</v>
      </c>
      <c r="E149">
        <v>3</v>
      </c>
    </row>
    <row r="150" spans="1:5" x14ac:dyDescent="0.25">
      <c r="A150" t="s">
        <v>8</v>
      </c>
      <c r="B150" t="s">
        <v>15</v>
      </c>
      <c r="C150" t="s">
        <v>7</v>
      </c>
      <c r="D150">
        <v>4820</v>
      </c>
      <c r="E150">
        <v>5</v>
      </c>
    </row>
    <row r="151" spans="1:5" x14ac:dyDescent="0.25">
      <c r="A151" t="s">
        <v>8</v>
      </c>
      <c r="B151" t="s">
        <v>6</v>
      </c>
      <c r="C151" t="s">
        <v>9</v>
      </c>
      <c r="D151">
        <v>4135</v>
      </c>
      <c r="E151">
        <v>4</v>
      </c>
    </row>
    <row r="152" spans="1:5" x14ac:dyDescent="0.25">
      <c r="A152" t="s">
        <v>10</v>
      </c>
      <c r="B152" t="s">
        <v>25</v>
      </c>
      <c r="C152" t="s">
        <v>12</v>
      </c>
      <c r="D152">
        <v>4389</v>
      </c>
      <c r="E152">
        <v>4</v>
      </c>
    </row>
    <row r="153" spans="1:5" x14ac:dyDescent="0.25">
      <c r="A153" t="s">
        <v>10</v>
      </c>
      <c r="B153" t="s">
        <v>26</v>
      </c>
      <c r="C153" t="s">
        <v>9</v>
      </c>
      <c r="D153">
        <v>5138</v>
      </c>
      <c r="E153">
        <v>2</v>
      </c>
    </row>
    <row r="154" spans="1:5" x14ac:dyDescent="0.25">
      <c r="A154" t="s">
        <v>8</v>
      </c>
      <c r="B154" t="s">
        <v>25</v>
      </c>
      <c r="C154" t="s">
        <v>12</v>
      </c>
      <c r="D154">
        <v>4834</v>
      </c>
      <c r="E154">
        <v>2</v>
      </c>
    </row>
    <row r="155" spans="1:5" x14ac:dyDescent="0.25">
      <c r="A155" t="s">
        <v>11</v>
      </c>
      <c r="B155" t="s">
        <v>25</v>
      </c>
      <c r="C155" t="s">
        <v>12</v>
      </c>
      <c r="D155">
        <v>4399</v>
      </c>
      <c r="E155">
        <v>5</v>
      </c>
    </row>
    <row r="156" spans="1:5" x14ac:dyDescent="0.25">
      <c r="A156" t="s">
        <v>13</v>
      </c>
      <c r="B156" t="s">
        <v>15</v>
      </c>
      <c r="C156" t="s">
        <v>12</v>
      </c>
      <c r="D156">
        <v>5200</v>
      </c>
      <c r="E156">
        <v>3</v>
      </c>
    </row>
    <row r="157" spans="1:5" x14ac:dyDescent="0.25">
      <c r="A157" t="s">
        <v>5</v>
      </c>
      <c r="B157" t="s">
        <v>6</v>
      </c>
      <c r="C157" t="s">
        <v>12</v>
      </c>
      <c r="D157">
        <v>5279</v>
      </c>
      <c r="E157">
        <v>1</v>
      </c>
    </row>
    <row r="158" spans="1:5" x14ac:dyDescent="0.25">
      <c r="A158" t="s">
        <v>8</v>
      </c>
      <c r="B158" t="s">
        <v>15</v>
      </c>
      <c r="C158" t="s">
        <v>9</v>
      </c>
      <c r="D158">
        <v>4080</v>
      </c>
      <c r="E158">
        <v>4</v>
      </c>
    </row>
    <row r="159" spans="1:5" x14ac:dyDescent="0.25">
      <c r="A159" t="s">
        <v>5</v>
      </c>
      <c r="B159" t="s">
        <v>25</v>
      </c>
      <c r="C159" t="s">
        <v>9</v>
      </c>
      <c r="D159">
        <v>4723</v>
      </c>
      <c r="E159">
        <v>1</v>
      </c>
    </row>
    <row r="160" spans="1:5" x14ac:dyDescent="0.25">
      <c r="A160" t="s">
        <v>8</v>
      </c>
      <c r="B160" t="s">
        <v>6</v>
      </c>
      <c r="C160" t="s">
        <v>14</v>
      </c>
      <c r="D160">
        <v>5428</v>
      </c>
      <c r="E160">
        <v>3</v>
      </c>
    </row>
    <row r="161" spans="1:5" x14ac:dyDescent="0.25">
      <c r="A161" t="s">
        <v>8</v>
      </c>
      <c r="B161" t="s">
        <v>26</v>
      </c>
      <c r="C161" t="s">
        <v>14</v>
      </c>
      <c r="D161">
        <v>4831</v>
      </c>
      <c r="E161">
        <v>1</v>
      </c>
    </row>
    <row r="162" spans="1:5" x14ac:dyDescent="0.25">
      <c r="A162" t="s">
        <v>8</v>
      </c>
      <c r="B162" t="s">
        <v>15</v>
      </c>
      <c r="C162" t="s">
        <v>9</v>
      </c>
      <c r="D162">
        <v>5371</v>
      </c>
      <c r="E162">
        <v>1</v>
      </c>
    </row>
    <row r="163" spans="1:5" x14ac:dyDescent="0.25">
      <c r="A163" t="s">
        <v>10</v>
      </c>
      <c r="B163" t="s">
        <v>26</v>
      </c>
      <c r="C163" t="s">
        <v>14</v>
      </c>
      <c r="D163">
        <v>5371</v>
      </c>
      <c r="E163">
        <v>5</v>
      </c>
    </row>
    <row r="164" spans="1:5" x14ac:dyDescent="0.25">
      <c r="A164" t="s">
        <v>10</v>
      </c>
      <c r="B164" t="s">
        <v>26</v>
      </c>
      <c r="C164" t="s">
        <v>7</v>
      </c>
      <c r="D164">
        <v>4706</v>
      </c>
      <c r="E164">
        <v>4</v>
      </c>
    </row>
    <row r="165" spans="1:5" x14ac:dyDescent="0.25">
      <c r="A165" t="s">
        <v>11</v>
      </c>
      <c r="B165" t="s">
        <v>15</v>
      </c>
      <c r="C165" t="s">
        <v>7</v>
      </c>
      <c r="D165">
        <v>4491</v>
      </c>
      <c r="E165">
        <v>2</v>
      </c>
    </row>
    <row r="166" spans="1:5" x14ac:dyDescent="0.25">
      <c r="A166" t="s">
        <v>13</v>
      </c>
      <c r="B166" t="s">
        <v>15</v>
      </c>
      <c r="C166" t="s">
        <v>14</v>
      </c>
      <c r="D166">
        <v>4110</v>
      </c>
      <c r="E166">
        <v>5</v>
      </c>
    </row>
    <row r="167" spans="1:5" x14ac:dyDescent="0.25">
      <c r="A167" t="s">
        <v>11</v>
      </c>
      <c r="B167" t="s">
        <v>26</v>
      </c>
      <c r="C167" t="s">
        <v>12</v>
      </c>
      <c r="D167">
        <v>4648</v>
      </c>
      <c r="E167">
        <v>5</v>
      </c>
    </row>
    <row r="168" spans="1:5" x14ac:dyDescent="0.25">
      <c r="A168" t="s">
        <v>10</v>
      </c>
      <c r="B168" t="s">
        <v>25</v>
      </c>
      <c r="C168" t="s">
        <v>9</v>
      </c>
      <c r="D168">
        <v>5349</v>
      </c>
      <c r="E168">
        <v>3</v>
      </c>
    </row>
    <row r="169" spans="1:5" x14ac:dyDescent="0.25">
      <c r="A169" t="s">
        <v>10</v>
      </c>
      <c r="B169" t="s">
        <v>15</v>
      </c>
      <c r="C169" t="s">
        <v>12</v>
      </c>
      <c r="D169">
        <v>4802</v>
      </c>
      <c r="E169">
        <v>1</v>
      </c>
    </row>
    <row r="170" spans="1:5" x14ac:dyDescent="0.25">
      <c r="A170" t="s">
        <v>11</v>
      </c>
      <c r="B170" t="s">
        <v>25</v>
      </c>
      <c r="C170" t="s">
        <v>9</v>
      </c>
      <c r="D170">
        <v>5274</v>
      </c>
      <c r="E170">
        <v>1</v>
      </c>
    </row>
    <row r="171" spans="1:5" x14ac:dyDescent="0.25">
      <c r="A171" t="s">
        <v>11</v>
      </c>
      <c r="B171" t="s">
        <v>25</v>
      </c>
      <c r="C171" t="s">
        <v>14</v>
      </c>
      <c r="D171">
        <v>5248</v>
      </c>
      <c r="E171">
        <v>4</v>
      </c>
    </row>
    <row r="172" spans="1:5" x14ac:dyDescent="0.25">
      <c r="A172" t="s">
        <v>11</v>
      </c>
      <c r="B172" t="s">
        <v>25</v>
      </c>
      <c r="C172" t="s">
        <v>7</v>
      </c>
      <c r="D172">
        <v>4176</v>
      </c>
      <c r="E172">
        <v>2</v>
      </c>
    </row>
    <row r="173" spans="1:5" x14ac:dyDescent="0.25">
      <c r="A173" t="s">
        <v>11</v>
      </c>
      <c r="B173" t="s">
        <v>25</v>
      </c>
      <c r="C173" t="s">
        <v>14</v>
      </c>
      <c r="D173">
        <v>4639</v>
      </c>
      <c r="E173">
        <v>1</v>
      </c>
    </row>
    <row r="174" spans="1:5" x14ac:dyDescent="0.25">
      <c r="A174" t="s">
        <v>11</v>
      </c>
      <c r="B174" t="s">
        <v>6</v>
      </c>
      <c r="C174" t="s">
        <v>12</v>
      </c>
      <c r="D174">
        <v>4261</v>
      </c>
      <c r="E174">
        <v>2</v>
      </c>
    </row>
    <row r="175" spans="1:5" x14ac:dyDescent="0.25">
      <c r="A175" t="s">
        <v>11</v>
      </c>
      <c r="B175" t="s">
        <v>15</v>
      </c>
      <c r="C175" t="s">
        <v>7</v>
      </c>
      <c r="D175">
        <v>5327</v>
      </c>
      <c r="E175">
        <v>5</v>
      </c>
    </row>
    <row r="176" spans="1:5" x14ac:dyDescent="0.25">
      <c r="A176" t="s">
        <v>10</v>
      </c>
      <c r="B176" t="s">
        <v>15</v>
      </c>
      <c r="C176" t="s">
        <v>12</v>
      </c>
      <c r="D176">
        <v>4387</v>
      </c>
      <c r="E176">
        <v>4</v>
      </c>
    </row>
    <row r="177" spans="1:5" x14ac:dyDescent="0.25">
      <c r="A177" t="s">
        <v>8</v>
      </c>
      <c r="B177" t="s">
        <v>15</v>
      </c>
      <c r="C177" t="s">
        <v>7</v>
      </c>
      <c r="D177">
        <v>4993</v>
      </c>
      <c r="E177">
        <v>1</v>
      </c>
    </row>
    <row r="178" spans="1:5" x14ac:dyDescent="0.25">
      <c r="A178" t="s">
        <v>13</v>
      </c>
      <c r="B178" t="s">
        <v>25</v>
      </c>
      <c r="C178" t="s">
        <v>9</v>
      </c>
      <c r="D178">
        <v>4831</v>
      </c>
      <c r="E178">
        <v>5</v>
      </c>
    </row>
    <row r="179" spans="1:5" x14ac:dyDescent="0.25">
      <c r="A179" t="s">
        <v>13</v>
      </c>
      <c r="B179" t="s">
        <v>15</v>
      </c>
      <c r="C179" t="s">
        <v>14</v>
      </c>
      <c r="D179">
        <v>4158</v>
      </c>
      <c r="E179">
        <v>5</v>
      </c>
    </row>
    <row r="180" spans="1:5" x14ac:dyDescent="0.25">
      <c r="A180" t="s">
        <v>13</v>
      </c>
      <c r="B180" t="s">
        <v>6</v>
      </c>
      <c r="C180" t="s">
        <v>7</v>
      </c>
      <c r="D180">
        <v>4414</v>
      </c>
      <c r="E180">
        <v>1</v>
      </c>
    </row>
    <row r="181" spans="1:5" x14ac:dyDescent="0.25">
      <c r="A181" t="s">
        <v>8</v>
      </c>
      <c r="B181" t="s">
        <v>6</v>
      </c>
      <c r="C181" t="s">
        <v>12</v>
      </c>
      <c r="D181">
        <v>4009</v>
      </c>
      <c r="E181">
        <v>1</v>
      </c>
    </row>
    <row r="182" spans="1:5" x14ac:dyDescent="0.25">
      <c r="A182" t="s">
        <v>11</v>
      </c>
      <c r="B182" t="s">
        <v>25</v>
      </c>
      <c r="C182" t="s">
        <v>14</v>
      </c>
      <c r="D182">
        <v>4596</v>
      </c>
      <c r="E182">
        <v>1</v>
      </c>
    </row>
    <row r="183" spans="1:5" x14ac:dyDescent="0.25">
      <c r="A183" t="s">
        <v>11</v>
      </c>
      <c r="B183" t="s">
        <v>6</v>
      </c>
      <c r="C183" t="s">
        <v>7</v>
      </c>
      <c r="D183">
        <v>5085</v>
      </c>
      <c r="E183">
        <v>3</v>
      </c>
    </row>
    <row r="184" spans="1:5" x14ac:dyDescent="0.25">
      <c r="A184" t="s">
        <v>13</v>
      </c>
      <c r="B184" t="s">
        <v>6</v>
      </c>
      <c r="C184" t="s">
        <v>9</v>
      </c>
      <c r="D184">
        <v>4021</v>
      </c>
      <c r="E184">
        <v>2</v>
      </c>
    </row>
    <row r="185" spans="1:5" x14ac:dyDescent="0.25">
      <c r="A185" t="s">
        <v>11</v>
      </c>
      <c r="B185" t="s">
        <v>25</v>
      </c>
      <c r="C185" t="s">
        <v>9</v>
      </c>
      <c r="D185">
        <v>4891</v>
      </c>
      <c r="E185">
        <v>1</v>
      </c>
    </row>
    <row r="186" spans="1:5" x14ac:dyDescent="0.25">
      <c r="A186" t="s">
        <v>13</v>
      </c>
      <c r="B186" t="s">
        <v>6</v>
      </c>
      <c r="C186" t="s">
        <v>9</v>
      </c>
      <c r="D186">
        <v>4984</v>
      </c>
      <c r="E186">
        <v>5</v>
      </c>
    </row>
    <row r="187" spans="1:5" x14ac:dyDescent="0.25">
      <c r="A187" t="s">
        <v>10</v>
      </c>
      <c r="B187" t="s">
        <v>26</v>
      </c>
      <c r="C187" t="s">
        <v>7</v>
      </c>
      <c r="D187">
        <v>4200</v>
      </c>
      <c r="E187">
        <v>2</v>
      </c>
    </row>
    <row r="188" spans="1:5" x14ac:dyDescent="0.25">
      <c r="A188" t="s">
        <v>13</v>
      </c>
      <c r="B188" t="s">
        <v>15</v>
      </c>
      <c r="C188" t="s">
        <v>12</v>
      </c>
      <c r="D188">
        <v>4459</v>
      </c>
      <c r="E188">
        <v>3</v>
      </c>
    </row>
    <row r="189" spans="1:5" x14ac:dyDescent="0.25">
      <c r="A189" t="s">
        <v>11</v>
      </c>
      <c r="B189" t="s">
        <v>6</v>
      </c>
      <c r="C189" t="s">
        <v>7</v>
      </c>
      <c r="D189">
        <v>4180</v>
      </c>
      <c r="E189">
        <v>3</v>
      </c>
    </row>
    <row r="190" spans="1:5" x14ac:dyDescent="0.25">
      <c r="A190" t="s">
        <v>11</v>
      </c>
      <c r="B190" t="s">
        <v>25</v>
      </c>
      <c r="C190" t="s">
        <v>7</v>
      </c>
      <c r="D190">
        <v>4387</v>
      </c>
      <c r="E190">
        <v>1</v>
      </c>
    </row>
    <row r="191" spans="1:5" x14ac:dyDescent="0.25">
      <c r="A191" t="s">
        <v>13</v>
      </c>
      <c r="B191" t="s">
        <v>15</v>
      </c>
      <c r="C191" t="s">
        <v>14</v>
      </c>
      <c r="D191">
        <v>4083</v>
      </c>
      <c r="E191">
        <v>5</v>
      </c>
    </row>
    <row r="192" spans="1:5" x14ac:dyDescent="0.25">
      <c r="A192" t="s">
        <v>10</v>
      </c>
      <c r="B192" t="s">
        <v>26</v>
      </c>
      <c r="C192" t="s">
        <v>12</v>
      </c>
      <c r="D192">
        <v>5371</v>
      </c>
      <c r="E192">
        <v>1</v>
      </c>
    </row>
    <row r="193" spans="1:5" x14ac:dyDescent="0.25">
      <c r="A193" t="s">
        <v>8</v>
      </c>
      <c r="B193" t="s">
        <v>15</v>
      </c>
      <c r="C193" t="s">
        <v>12</v>
      </c>
      <c r="D193">
        <v>4636</v>
      </c>
      <c r="E193">
        <v>2</v>
      </c>
    </row>
    <row r="194" spans="1:5" x14ac:dyDescent="0.25">
      <c r="A194" t="s">
        <v>13</v>
      </c>
      <c r="B194" t="s">
        <v>25</v>
      </c>
      <c r="C194" t="s">
        <v>9</v>
      </c>
      <c r="D194">
        <v>5082</v>
      </c>
      <c r="E194">
        <v>2</v>
      </c>
    </row>
    <row r="195" spans="1:5" x14ac:dyDescent="0.25">
      <c r="A195" t="s">
        <v>13</v>
      </c>
      <c r="B195" t="s">
        <v>25</v>
      </c>
      <c r="C195" t="s">
        <v>12</v>
      </c>
      <c r="D195">
        <v>4277</v>
      </c>
      <c r="E195">
        <v>1</v>
      </c>
    </row>
    <row r="196" spans="1:5" x14ac:dyDescent="0.25">
      <c r="A196" t="s">
        <v>8</v>
      </c>
      <c r="B196" t="s">
        <v>6</v>
      </c>
      <c r="C196" t="s">
        <v>9</v>
      </c>
      <c r="D196">
        <v>4194</v>
      </c>
      <c r="E196">
        <v>5</v>
      </c>
    </row>
    <row r="197" spans="1:5" x14ac:dyDescent="0.25">
      <c r="A197" t="s">
        <v>5</v>
      </c>
      <c r="B197" t="s">
        <v>25</v>
      </c>
      <c r="C197" t="s">
        <v>9</v>
      </c>
      <c r="D197">
        <v>4072</v>
      </c>
      <c r="E197">
        <v>3</v>
      </c>
    </row>
    <row r="198" spans="1:5" x14ac:dyDescent="0.25">
      <c r="A198" t="s">
        <v>8</v>
      </c>
      <c r="B198" t="s">
        <v>26</v>
      </c>
      <c r="C198" t="s">
        <v>14</v>
      </c>
      <c r="D198">
        <v>5402</v>
      </c>
      <c r="E198">
        <v>4</v>
      </c>
    </row>
    <row r="199" spans="1:5" x14ac:dyDescent="0.25">
      <c r="A199" t="s">
        <v>11</v>
      </c>
      <c r="B199" t="s">
        <v>25</v>
      </c>
      <c r="C199" t="s">
        <v>14</v>
      </c>
      <c r="D199">
        <v>4594</v>
      </c>
      <c r="E199">
        <v>4</v>
      </c>
    </row>
    <row r="200" spans="1:5" x14ac:dyDescent="0.25">
      <c r="A200" t="s">
        <v>8</v>
      </c>
      <c r="B200" t="s">
        <v>6</v>
      </c>
      <c r="C200" t="s">
        <v>12</v>
      </c>
      <c r="D200">
        <v>5402</v>
      </c>
      <c r="E200">
        <v>2</v>
      </c>
    </row>
    <row r="201" spans="1:5" x14ac:dyDescent="0.25">
      <c r="A201" t="s">
        <v>10</v>
      </c>
      <c r="B201" t="s">
        <v>6</v>
      </c>
      <c r="C201" t="s">
        <v>12</v>
      </c>
      <c r="D201">
        <v>4429</v>
      </c>
      <c r="E2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Sukanya Rout</dc:creator>
  <cp:lastModifiedBy>Sukanya Rout</cp:lastModifiedBy>
  <dcterms:created xsi:type="dcterms:W3CDTF">2025-06-18T08:07:01Z</dcterms:created>
  <dcterms:modified xsi:type="dcterms:W3CDTF">2025-06-20T10:12:18Z</dcterms:modified>
</cp:coreProperties>
</file>