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\OneDrive\Desktop\practice excel\"/>
    </mc:Choice>
  </mc:AlternateContent>
  <xr:revisionPtr revIDLastSave="0" documentId="13_ncr:1_{05B49563-F383-45ED-B950-82F5C70501F3}" xr6:coauthVersionLast="47" xr6:coauthVersionMax="47" xr10:uidLastSave="{00000000-0000-0000-0000-000000000000}"/>
  <bookViews>
    <workbookView xWindow="-120" yWindow="-120" windowWidth="20730" windowHeight="11040" activeTab="2" xr2:uid="{86D32E7E-0837-4E12-BBA5-1606486B6AAB}"/>
  </bookViews>
  <sheets>
    <sheet name="10th no." sheetId="3" r:id="rId1"/>
    <sheet name="11 no." sheetId="4" r:id="rId2"/>
    <sheet name="University_Enrollment_Dataset" sheetId="1" r:id="rId3"/>
    <sheet name="Faculty head" sheetId="2" r:id="rId4"/>
  </sheets>
  <definedNames>
    <definedName name="_xlnm._FilterDatabase" localSheetId="2" hidden="1">University_Enrollment_Dataset!$D$1:$D$1201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G3" i="1" s="1"/>
  <c r="AC3" i="1"/>
  <c r="Z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2" i="1"/>
  <c r="D7" i="3"/>
  <c r="U2" i="1"/>
  <c r="T2" i="1" l="1"/>
  <c r="R2" i="1" a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2" i="1"/>
  <c r="N3" i="1" a="1"/>
  <c r="N3" i="1"/>
  <c r="N4" i="1" a="1"/>
  <c r="N4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35" i="1" a="1"/>
  <c r="N35" i="1"/>
  <c r="N36" i="1" a="1"/>
  <c r="N36" i="1"/>
  <c r="N37" i="1" a="1"/>
  <c r="N37" i="1"/>
  <c r="N38" i="1" a="1"/>
  <c r="N38" i="1"/>
  <c r="N39" i="1" a="1"/>
  <c r="N39" i="1"/>
  <c r="N40" i="1" a="1"/>
  <c r="N40" i="1"/>
  <c r="N41" i="1" a="1"/>
  <c r="N41" i="1"/>
  <c r="N42" i="1" a="1"/>
  <c r="N42" i="1"/>
  <c r="N43" i="1" a="1"/>
  <c r="N43" i="1"/>
  <c r="N44" i="1" a="1"/>
  <c r="N44" i="1"/>
  <c r="N45" i="1" a="1"/>
  <c r="N45" i="1"/>
  <c r="N46" i="1" a="1"/>
  <c r="N46" i="1"/>
  <c r="N47" i="1" a="1"/>
  <c r="N47" i="1"/>
  <c r="N48" i="1" a="1"/>
  <c r="N48" i="1"/>
  <c r="N49" i="1" a="1"/>
  <c r="N49" i="1"/>
  <c r="N50" i="1" a="1"/>
  <c r="N50" i="1"/>
  <c r="N51" i="1" a="1"/>
  <c r="N51" i="1"/>
  <c r="N52" i="1" a="1"/>
  <c r="N52" i="1"/>
  <c r="N53" i="1" a="1"/>
  <c r="N53" i="1"/>
  <c r="N54" i="1" a="1"/>
  <c r="N54" i="1"/>
  <c r="N55" i="1" a="1"/>
  <c r="N55" i="1"/>
  <c r="N56" i="1" a="1"/>
  <c r="N56" i="1"/>
  <c r="N57" i="1" a="1"/>
  <c r="N57" i="1"/>
  <c r="N58" i="1" a="1"/>
  <c r="N58" i="1"/>
  <c r="N59" i="1" a="1"/>
  <c r="N59" i="1"/>
  <c r="N60" i="1" a="1"/>
  <c r="N60" i="1"/>
  <c r="N61" i="1" a="1"/>
  <c r="N61" i="1"/>
  <c r="N62" i="1" a="1"/>
  <c r="N62" i="1"/>
  <c r="N63" i="1" a="1"/>
  <c r="N63" i="1"/>
  <c r="N64" i="1" a="1"/>
  <c r="N64" i="1"/>
  <c r="N65" i="1" a="1"/>
  <c r="N65" i="1"/>
  <c r="N66" i="1" a="1"/>
  <c r="N66" i="1"/>
  <c r="N67" i="1" a="1"/>
  <c r="N67" i="1"/>
  <c r="N68" i="1" a="1"/>
  <c r="N68" i="1"/>
  <c r="N69" i="1" a="1"/>
  <c r="N69" i="1"/>
  <c r="N70" i="1" a="1"/>
  <c r="N70" i="1"/>
  <c r="N71" i="1" a="1"/>
  <c r="N71" i="1"/>
  <c r="N72" i="1" a="1"/>
  <c r="N72" i="1"/>
  <c r="N73" i="1" a="1"/>
  <c r="N73" i="1"/>
  <c r="N74" i="1" a="1"/>
  <c r="N74" i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/>
  <c r="N82" i="1" a="1"/>
  <c r="N82" i="1"/>
  <c r="N83" i="1" a="1"/>
  <c r="N83" i="1"/>
  <c r="N84" i="1" a="1"/>
  <c r="N84" i="1"/>
  <c r="N85" i="1" a="1"/>
  <c r="N85" i="1"/>
  <c r="N86" i="1" a="1"/>
  <c r="N86" i="1"/>
  <c r="N87" i="1" a="1"/>
  <c r="N87" i="1"/>
  <c r="N88" i="1" a="1"/>
  <c r="N88" i="1"/>
  <c r="N89" i="1" a="1"/>
  <c r="N89" i="1"/>
  <c r="N90" i="1" a="1"/>
  <c r="N90" i="1"/>
  <c r="N91" i="1" a="1"/>
  <c r="N91" i="1"/>
  <c r="N92" i="1" a="1"/>
  <c r="N92" i="1"/>
  <c r="N93" i="1" a="1"/>
  <c r="N93" i="1"/>
  <c r="N94" i="1" a="1"/>
  <c r="N94" i="1"/>
  <c r="N95" i="1" a="1"/>
  <c r="N95" i="1"/>
  <c r="N96" i="1" a="1"/>
  <c r="N96" i="1"/>
  <c r="N97" i="1" a="1"/>
  <c r="N97" i="1"/>
  <c r="N98" i="1" a="1"/>
  <c r="N98" i="1"/>
  <c r="N99" i="1" a="1"/>
  <c r="N99" i="1"/>
  <c r="N100" i="1" a="1"/>
  <c r="N100" i="1"/>
  <c r="N101" i="1" a="1"/>
  <c r="N101" i="1"/>
  <c r="N102" i="1" a="1"/>
  <c r="N102" i="1"/>
  <c r="N103" i="1" a="1"/>
  <c r="N103" i="1"/>
  <c r="N104" i="1" a="1"/>
  <c r="N104" i="1"/>
  <c r="N105" i="1" a="1"/>
  <c r="N105" i="1"/>
  <c r="N106" i="1" a="1"/>
  <c r="N106" i="1"/>
  <c r="N107" i="1" a="1"/>
  <c r="N107" i="1"/>
  <c r="N108" i="1" a="1"/>
  <c r="N108" i="1"/>
  <c r="N109" i="1" a="1"/>
  <c r="N109" i="1"/>
  <c r="N110" i="1" a="1"/>
  <c r="N110" i="1"/>
  <c r="N111" i="1" a="1"/>
  <c r="N111" i="1"/>
  <c r="N112" i="1" a="1"/>
  <c r="N112" i="1"/>
  <c r="N113" i="1" a="1"/>
  <c r="N113" i="1"/>
  <c r="N114" i="1" a="1"/>
  <c r="N114" i="1"/>
  <c r="N115" i="1" a="1"/>
  <c r="N115" i="1"/>
  <c r="N116" i="1" a="1"/>
  <c r="N116" i="1"/>
  <c r="N117" i="1" a="1"/>
  <c r="N117" i="1"/>
  <c r="N118" i="1" a="1"/>
  <c r="N118" i="1"/>
  <c r="N119" i="1" a="1"/>
  <c r="N119" i="1"/>
  <c r="N120" i="1" a="1"/>
  <c r="N120" i="1"/>
  <c r="N121" i="1" a="1"/>
  <c r="N121" i="1"/>
  <c r="N122" i="1" a="1"/>
  <c r="N122" i="1"/>
  <c r="N123" i="1" a="1"/>
  <c r="N123" i="1"/>
  <c r="N124" i="1" a="1"/>
  <c r="N124" i="1"/>
  <c r="N125" i="1" a="1"/>
  <c r="N125" i="1"/>
  <c r="N126" i="1" a="1"/>
  <c r="N126" i="1"/>
  <c r="N127" i="1" a="1"/>
  <c r="N127" i="1"/>
  <c r="N128" i="1" a="1"/>
  <c r="N128" i="1"/>
  <c r="N129" i="1" a="1"/>
  <c r="N129" i="1"/>
  <c r="N130" i="1" a="1"/>
  <c r="N130" i="1"/>
  <c r="N131" i="1" a="1"/>
  <c r="N131" i="1"/>
  <c r="N132" i="1" a="1"/>
  <c r="N132" i="1"/>
  <c r="N133" i="1" a="1"/>
  <c r="N133" i="1"/>
  <c r="N134" i="1" a="1"/>
  <c r="N134" i="1"/>
  <c r="N135" i="1" a="1"/>
  <c r="N135" i="1"/>
  <c r="N136" i="1" a="1"/>
  <c r="N136" i="1"/>
  <c r="N137" i="1" a="1"/>
  <c r="N137" i="1"/>
  <c r="N138" i="1" a="1"/>
  <c r="N138" i="1"/>
  <c r="N139" i="1" a="1"/>
  <c r="N139" i="1"/>
  <c r="N140" i="1" a="1"/>
  <c r="N140" i="1"/>
  <c r="N141" i="1" a="1"/>
  <c r="N141" i="1"/>
  <c r="N142" i="1" a="1"/>
  <c r="N142" i="1"/>
  <c r="N143" i="1" a="1"/>
  <c r="N143" i="1"/>
  <c r="N144" i="1" a="1"/>
  <c r="N144" i="1"/>
  <c r="N145" i="1" a="1"/>
  <c r="N145" i="1"/>
  <c r="N146" i="1" a="1"/>
  <c r="N146" i="1"/>
  <c r="N147" i="1" a="1"/>
  <c r="N147" i="1"/>
  <c r="N148" i="1" a="1"/>
  <c r="N148" i="1"/>
  <c r="N149" i="1" a="1"/>
  <c r="N149" i="1"/>
  <c r="N150" i="1" a="1"/>
  <c r="N150" i="1"/>
  <c r="N151" i="1" a="1"/>
  <c r="N151" i="1"/>
  <c r="N152" i="1" a="1"/>
  <c r="N152" i="1"/>
  <c r="N153" i="1" a="1"/>
  <c r="N153" i="1"/>
  <c r="N154" i="1" a="1"/>
  <c r="N154" i="1"/>
  <c r="N155" i="1" a="1"/>
  <c r="N155" i="1"/>
  <c r="N156" i="1" a="1"/>
  <c r="N156" i="1"/>
  <c r="N157" i="1" a="1"/>
  <c r="N157" i="1"/>
  <c r="N158" i="1" a="1"/>
  <c r="N158" i="1"/>
  <c r="N159" i="1" a="1"/>
  <c r="N159" i="1"/>
  <c r="N160" i="1" a="1"/>
  <c r="N160" i="1"/>
  <c r="N161" i="1" a="1"/>
  <c r="N161" i="1"/>
  <c r="N162" i="1" a="1"/>
  <c r="N162" i="1"/>
  <c r="N163" i="1" a="1"/>
  <c r="N163" i="1"/>
  <c r="N164" i="1" a="1"/>
  <c r="N164" i="1"/>
  <c r="N165" i="1" a="1"/>
  <c r="N165" i="1"/>
  <c r="N166" i="1" a="1"/>
  <c r="N166" i="1"/>
  <c r="N167" i="1" a="1"/>
  <c r="N167" i="1"/>
  <c r="N168" i="1" a="1"/>
  <c r="N168" i="1"/>
  <c r="N169" i="1" a="1"/>
  <c r="N169" i="1"/>
  <c r="N170" i="1" a="1"/>
  <c r="N170" i="1"/>
  <c r="N171" i="1" a="1"/>
  <c r="N171" i="1"/>
  <c r="N172" i="1" a="1"/>
  <c r="N172" i="1"/>
  <c r="N173" i="1" a="1"/>
  <c r="N173" i="1"/>
  <c r="N174" i="1" a="1"/>
  <c r="N174" i="1"/>
  <c r="N175" i="1" a="1"/>
  <c r="N175" i="1"/>
  <c r="N176" i="1" a="1"/>
  <c r="N176" i="1"/>
  <c r="N177" i="1" a="1"/>
  <c r="N177" i="1"/>
  <c r="N178" i="1" a="1"/>
  <c r="N178" i="1"/>
  <c r="N179" i="1" a="1"/>
  <c r="N179" i="1"/>
  <c r="N180" i="1" a="1"/>
  <c r="N180" i="1"/>
  <c r="N181" i="1" a="1"/>
  <c r="N181" i="1"/>
  <c r="N182" i="1" a="1"/>
  <c r="N182" i="1"/>
  <c r="N183" i="1" a="1"/>
  <c r="N183" i="1"/>
  <c r="N184" i="1" a="1"/>
  <c r="N184" i="1"/>
  <c r="N185" i="1" a="1"/>
  <c r="N185" i="1"/>
  <c r="N186" i="1" a="1"/>
  <c r="N186" i="1"/>
  <c r="N187" i="1" a="1"/>
  <c r="N187" i="1"/>
  <c r="N188" i="1" a="1"/>
  <c r="N188" i="1"/>
  <c r="N189" i="1" a="1"/>
  <c r="N189" i="1"/>
  <c r="N190" i="1" a="1"/>
  <c r="N190" i="1"/>
  <c r="N191" i="1" a="1"/>
  <c r="N191" i="1"/>
  <c r="N192" i="1" a="1"/>
  <c r="N192" i="1"/>
  <c r="N193" i="1" a="1"/>
  <c r="N193" i="1"/>
  <c r="N194" i="1" a="1"/>
  <c r="N194" i="1"/>
  <c r="N195" i="1" a="1"/>
  <c r="N195" i="1"/>
  <c r="N196" i="1" a="1"/>
  <c r="N196" i="1"/>
  <c r="N197" i="1" a="1"/>
  <c r="N197" i="1"/>
  <c r="N198" i="1" a="1"/>
  <c r="N198" i="1"/>
  <c r="N199" i="1" a="1"/>
  <c r="N199" i="1"/>
  <c r="N200" i="1" a="1"/>
  <c r="N200" i="1"/>
  <c r="N201" i="1" a="1"/>
  <c r="N201" i="1"/>
  <c r="N202" i="1" a="1"/>
  <c r="N202" i="1"/>
  <c r="N203" i="1" a="1"/>
  <c r="N203" i="1"/>
  <c r="N204" i="1" a="1"/>
  <c r="N204" i="1"/>
  <c r="N205" i="1" a="1"/>
  <c r="N205" i="1"/>
  <c r="N206" i="1" a="1"/>
  <c r="N206" i="1"/>
  <c r="N207" i="1" a="1"/>
  <c r="N207" i="1"/>
  <c r="N208" i="1" a="1"/>
  <c r="N208" i="1"/>
  <c r="N209" i="1" a="1"/>
  <c r="N209" i="1"/>
  <c r="N210" i="1" a="1"/>
  <c r="N210" i="1"/>
  <c r="N211" i="1" a="1"/>
  <c r="N211" i="1"/>
  <c r="N212" i="1" a="1"/>
  <c r="N212" i="1"/>
  <c r="N213" i="1" a="1"/>
  <c r="N213" i="1"/>
  <c r="N214" i="1" a="1"/>
  <c r="N214" i="1"/>
  <c r="N215" i="1" a="1"/>
  <c r="N215" i="1"/>
  <c r="N216" i="1" a="1"/>
  <c r="N216" i="1"/>
  <c r="N217" i="1" a="1"/>
  <c r="N217" i="1"/>
  <c r="N218" i="1" a="1"/>
  <c r="N218" i="1"/>
  <c r="N219" i="1" a="1"/>
  <c r="N219" i="1"/>
  <c r="N220" i="1" a="1"/>
  <c r="N220" i="1"/>
  <c r="N221" i="1" a="1"/>
  <c r="N221" i="1"/>
  <c r="N222" i="1" a="1"/>
  <c r="N222" i="1"/>
  <c r="N223" i="1" a="1"/>
  <c r="N223" i="1"/>
  <c r="N224" i="1" a="1"/>
  <c r="N224" i="1"/>
  <c r="N225" i="1" a="1"/>
  <c r="N225" i="1"/>
  <c r="N226" i="1" a="1"/>
  <c r="N226" i="1"/>
  <c r="N227" i="1" a="1"/>
  <c r="N227" i="1"/>
  <c r="N228" i="1" a="1"/>
  <c r="N228" i="1"/>
  <c r="N229" i="1" a="1"/>
  <c r="N229" i="1"/>
  <c r="N230" i="1" a="1"/>
  <c r="N230" i="1"/>
  <c r="N231" i="1" a="1"/>
  <c r="N231" i="1"/>
  <c r="N232" i="1" a="1"/>
  <c r="N232" i="1"/>
  <c r="N233" i="1" a="1"/>
  <c r="N233" i="1"/>
  <c r="N234" i="1" a="1"/>
  <c r="N234" i="1"/>
  <c r="N235" i="1" a="1"/>
  <c r="N235" i="1"/>
  <c r="N236" i="1" a="1"/>
  <c r="N236" i="1"/>
  <c r="N237" i="1" a="1"/>
  <c r="N237" i="1"/>
  <c r="N238" i="1" a="1"/>
  <c r="N238" i="1"/>
  <c r="N239" i="1" a="1"/>
  <c r="N239" i="1"/>
  <c r="N240" i="1" a="1"/>
  <c r="N240" i="1"/>
  <c r="N241" i="1" a="1"/>
  <c r="N241" i="1"/>
  <c r="N242" i="1" a="1"/>
  <c r="N242" i="1"/>
  <c r="N243" i="1" a="1"/>
  <c r="N243" i="1"/>
  <c r="N244" i="1" a="1"/>
  <c r="N244" i="1"/>
  <c r="N245" i="1" a="1"/>
  <c r="N245" i="1"/>
  <c r="N246" i="1" a="1"/>
  <c r="N246" i="1"/>
  <c r="N247" i="1" a="1"/>
  <c r="N247" i="1"/>
  <c r="N248" i="1" a="1"/>
  <c r="N248" i="1"/>
  <c r="N249" i="1" a="1"/>
  <c r="N249" i="1"/>
  <c r="N250" i="1" a="1"/>
  <c r="N250" i="1"/>
  <c r="N251" i="1" a="1"/>
  <c r="N251" i="1"/>
  <c r="N252" i="1" a="1"/>
  <c r="N252" i="1"/>
  <c r="N253" i="1" a="1"/>
  <c r="N253" i="1"/>
  <c r="N254" i="1" a="1"/>
  <c r="N254" i="1"/>
  <c r="N255" i="1" a="1"/>
  <c r="N255" i="1"/>
  <c r="N256" i="1" a="1"/>
  <c r="N256" i="1"/>
  <c r="N257" i="1" a="1"/>
  <c r="N257" i="1"/>
  <c r="N258" i="1" a="1"/>
  <c r="N258" i="1"/>
  <c r="N259" i="1" a="1"/>
  <c r="N259" i="1"/>
  <c r="N260" i="1" a="1"/>
  <c r="N260" i="1"/>
  <c r="N261" i="1" a="1"/>
  <c r="N261" i="1"/>
  <c r="N262" i="1" a="1"/>
  <c r="N262" i="1"/>
  <c r="N263" i="1" a="1"/>
  <c r="N263" i="1"/>
  <c r="N264" i="1" a="1"/>
  <c r="N264" i="1"/>
  <c r="N265" i="1" a="1"/>
  <c r="N265" i="1"/>
  <c r="N266" i="1" a="1"/>
  <c r="N266" i="1"/>
  <c r="N267" i="1" a="1"/>
  <c r="N267" i="1"/>
  <c r="N268" i="1" a="1"/>
  <c r="N268" i="1"/>
  <c r="N269" i="1" a="1"/>
  <c r="N269" i="1"/>
  <c r="N270" i="1" a="1"/>
  <c r="N270" i="1"/>
  <c r="N271" i="1" a="1"/>
  <c r="N271" i="1"/>
  <c r="N272" i="1" a="1"/>
  <c r="N272" i="1"/>
  <c r="N273" i="1" a="1"/>
  <c r="N273" i="1"/>
  <c r="N274" i="1" a="1"/>
  <c r="N274" i="1"/>
  <c r="N275" i="1" a="1"/>
  <c r="N275" i="1"/>
  <c r="N276" i="1" a="1"/>
  <c r="N276" i="1"/>
  <c r="N277" i="1" a="1"/>
  <c r="N277" i="1"/>
  <c r="N278" i="1" a="1"/>
  <c r="N278" i="1"/>
  <c r="N279" i="1" a="1"/>
  <c r="N279" i="1"/>
  <c r="N280" i="1" a="1"/>
  <c r="N280" i="1"/>
  <c r="N281" i="1" a="1"/>
  <c r="N281" i="1"/>
  <c r="N282" i="1" a="1"/>
  <c r="N282" i="1"/>
  <c r="N283" i="1" a="1"/>
  <c r="N283" i="1"/>
  <c r="N284" i="1" a="1"/>
  <c r="N284" i="1"/>
  <c r="N285" i="1" a="1"/>
  <c r="N285" i="1"/>
  <c r="N286" i="1" a="1"/>
  <c r="N286" i="1"/>
  <c r="N287" i="1" a="1"/>
  <c r="N287" i="1"/>
  <c r="N288" i="1" a="1"/>
  <c r="N288" i="1"/>
  <c r="N289" i="1" a="1"/>
  <c r="N289" i="1"/>
  <c r="N290" i="1" a="1"/>
  <c r="N290" i="1"/>
  <c r="N291" i="1" a="1"/>
  <c r="N291" i="1"/>
  <c r="N292" i="1" a="1"/>
  <c r="N292" i="1"/>
  <c r="N293" i="1" a="1"/>
  <c r="N293" i="1"/>
  <c r="N294" i="1" a="1"/>
  <c r="N294" i="1"/>
  <c r="N295" i="1" a="1"/>
  <c r="N295" i="1"/>
  <c r="N296" i="1" a="1"/>
  <c r="N296" i="1"/>
  <c r="N297" i="1" a="1"/>
  <c r="N297" i="1"/>
  <c r="N298" i="1" a="1"/>
  <c r="N298" i="1"/>
  <c r="N299" i="1" a="1"/>
  <c r="N299" i="1"/>
  <c r="N300" i="1" a="1"/>
  <c r="N300" i="1"/>
  <c r="N301" i="1" a="1"/>
  <c r="N301" i="1"/>
  <c r="N302" i="1" a="1"/>
  <c r="N302" i="1"/>
  <c r="N303" i="1" a="1"/>
  <c r="N303" i="1"/>
  <c r="N304" i="1" a="1"/>
  <c r="N304" i="1"/>
  <c r="N305" i="1" a="1"/>
  <c r="N305" i="1"/>
  <c r="N306" i="1" a="1"/>
  <c r="N306" i="1"/>
  <c r="N307" i="1" a="1"/>
  <c r="N307" i="1"/>
  <c r="N308" i="1" a="1"/>
  <c r="N308" i="1"/>
  <c r="N309" i="1" a="1"/>
  <c r="N309" i="1"/>
  <c r="N310" i="1" a="1"/>
  <c r="N310" i="1"/>
  <c r="N311" i="1" a="1"/>
  <c r="N311" i="1"/>
  <c r="N312" i="1" a="1"/>
  <c r="N312" i="1"/>
  <c r="N313" i="1" a="1"/>
  <c r="N313" i="1"/>
  <c r="N314" i="1" a="1"/>
  <c r="N314" i="1"/>
  <c r="N315" i="1" a="1"/>
  <c r="N315" i="1"/>
  <c r="N316" i="1" a="1"/>
  <c r="N316" i="1"/>
  <c r="N317" i="1" a="1"/>
  <c r="N317" i="1"/>
  <c r="N318" i="1" a="1"/>
  <c r="N318" i="1"/>
  <c r="N319" i="1" a="1"/>
  <c r="N319" i="1"/>
  <c r="N320" i="1" a="1"/>
  <c r="N320" i="1"/>
  <c r="N321" i="1" a="1"/>
  <c r="N321" i="1"/>
  <c r="N322" i="1" a="1"/>
  <c r="N322" i="1"/>
  <c r="N323" i="1" a="1"/>
  <c r="N323" i="1"/>
  <c r="N324" i="1" a="1"/>
  <c r="N324" i="1"/>
  <c r="N325" i="1" a="1"/>
  <c r="N325" i="1"/>
  <c r="N326" i="1" a="1"/>
  <c r="N326" i="1"/>
  <c r="N327" i="1" a="1"/>
  <c r="N327" i="1"/>
  <c r="N328" i="1" a="1"/>
  <c r="N328" i="1"/>
  <c r="N329" i="1" a="1"/>
  <c r="N329" i="1"/>
  <c r="N330" i="1" a="1"/>
  <c r="N330" i="1"/>
  <c r="N331" i="1" a="1"/>
  <c r="N331" i="1"/>
  <c r="N332" i="1" a="1"/>
  <c r="N332" i="1"/>
  <c r="N333" i="1" a="1"/>
  <c r="N333" i="1"/>
  <c r="N334" i="1" a="1"/>
  <c r="N334" i="1"/>
  <c r="N335" i="1" a="1"/>
  <c r="N335" i="1"/>
  <c r="N336" i="1" a="1"/>
  <c r="N336" i="1"/>
  <c r="N337" i="1" a="1"/>
  <c r="N337" i="1"/>
  <c r="N338" i="1" a="1"/>
  <c r="N338" i="1"/>
  <c r="N339" i="1" a="1"/>
  <c r="N339" i="1"/>
  <c r="N340" i="1" a="1"/>
  <c r="N340" i="1"/>
  <c r="N341" i="1" a="1"/>
  <c r="N341" i="1"/>
  <c r="N342" i="1" a="1"/>
  <c r="N342" i="1"/>
  <c r="N343" i="1" a="1"/>
  <c r="N343" i="1"/>
  <c r="N344" i="1" a="1"/>
  <c r="N344" i="1"/>
  <c r="N345" i="1" a="1"/>
  <c r="N345" i="1"/>
  <c r="N346" i="1" a="1"/>
  <c r="N346" i="1"/>
  <c r="N347" i="1" a="1"/>
  <c r="N347" i="1"/>
  <c r="N348" i="1" a="1"/>
  <c r="N348" i="1"/>
  <c r="N349" i="1" a="1"/>
  <c r="N349" i="1"/>
  <c r="N350" i="1" a="1"/>
  <c r="N350" i="1"/>
  <c r="N351" i="1" a="1"/>
  <c r="N351" i="1"/>
  <c r="N352" i="1" a="1"/>
  <c r="N352" i="1"/>
  <c r="N353" i="1" a="1"/>
  <c r="N353" i="1"/>
  <c r="N354" i="1" a="1"/>
  <c r="N354" i="1"/>
  <c r="N355" i="1" a="1"/>
  <c r="N355" i="1"/>
  <c r="N356" i="1" a="1"/>
  <c r="N356" i="1"/>
  <c r="N357" i="1" a="1"/>
  <c r="N357" i="1"/>
  <c r="N358" i="1" a="1"/>
  <c r="N358" i="1"/>
  <c r="N359" i="1" a="1"/>
  <c r="N359" i="1"/>
  <c r="N360" i="1" a="1"/>
  <c r="N360" i="1"/>
  <c r="N361" i="1" a="1"/>
  <c r="N361" i="1"/>
  <c r="N362" i="1" a="1"/>
  <c r="N362" i="1"/>
  <c r="N363" i="1" a="1"/>
  <c r="N363" i="1"/>
  <c r="N364" i="1" a="1"/>
  <c r="N364" i="1"/>
  <c r="N365" i="1" a="1"/>
  <c r="N365" i="1"/>
  <c r="N366" i="1" a="1"/>
  <c r="N366" i="1"/>
  <c r="N367" i="1" a="1"/>
  <c r="N367" i="1"/>
  <c r="N368" i="1" a="1"/>
  <c r="N368" i="1"/>
  <c r="N369" i="1" a="1"/>
  <c r="N369" i="1"/>
  <c r="N370" i="1" a="1"/>
  <c r="N370" i="1"/>
  <c r="N371" i="1" a="1"/>
  <c r="N371" i="1"/>
  <c r="N372" i="1" a="1"/>
  <c r="N372" i="1"/>
  <c r="N373" i="1" a="1"/>
  <c r="N373" i="1"/>
  <c r="N374" i="1" a="1"/>
  <c r="N374" i="1"/>
  <c r="N375" i="1" a="1"/>
  <c r="N375" i="1"/>
  <c r="N376" i="1" a="1"/>
  <c r="N376" i="1"/>
  <c r="N377" i="1" a="1"/>
  <c r="N377" i="1"/>
  <c r="N378" i="1" a="1"/>
  <c r="N378" i="1"/>
  <c r="N379" i="1" a="1"/>
  <c r="N379" i="1"/>
  <c r="N380" i="1" a="1"/>
  <c r="N380" i="1"/>
  <c r="N381" i="1" a="1"/>
  <c r="N381" i="1"/>
  <c r="N382" i="1" a="1"/>
  <c r="N382" i="1"/>
  <c r="N383" i="1" a="1"/>
  <c r="N383" i="1"/>
  <c r="N384" i="1" a="1"/>
  <c r="N384" i="1"/>
  <c r="N385" i="1" a="1"/>
  <c r="N385" i="1"/>
  <c r="N386" i="1" a="1"/>
  <c r="N386" i="1"/>
  <c r="N387" i="1" a="1"/>
  <c r="N387" i="1"/>
  <c r="N388" i="1" a="1"/>
  <c r="N388" i="1"/>
  <c r="N389" i="1" a="1"/>
  <c r="N389" i="1"/>
  <c r="N390" i="1" a="1"/>
  <c r="N390" i="1"/>
  <c r="N391" i="1" a="1"/>
  <c r="N391" i="1"/>
  <c r="N392" i="1" a="1"/>
  <c r="N392" i="1"/>
  <c r="N393" i="1" a="1"/>
  <c r="N393" i="1"/>
  <c r="N394" i="1" a="1"/>
  <c r="N394" i="1"/>
  <c r="N395" i="1" a="1"/>
  <c r="N395" i="1"/>
  <c r="N396" i="1" a="1"/>
  <c r="N396" i="1"/>
  <c r="N397" i="1" a="1"/>
  <c r="N397" i="1"/>
  <c r="N398" i="1" a="1"/>
  <c r="N398" i="1"/>
  <c r="N399" i="1" a="1"/>
  <c r="N399" i="1"/>
  <c r="N400" i="1" a="1"/>
  <c r="N400" i="1"/>
  <c r="N401" i="1" a="1"/>
  <c r="N401" i="1"/>
  <c r="N402" i="1" a="1"/>
  <c r="N402" i="1"/>
  <c r="N403" i="1" a="1"/>
  <c r="N403" i="1"/>
  <c r="N404" i="1" a="1"/>
  <c r="N404" i="1"/>
  <c r="N405" i="1" a="1"/>
  <c r="N405" i="1"/>
  <c r="N406" i="1" a="1"/>
  <c r="N406" i="1"/>
  <c r="N407" i="1" a="1"/>
  <c r="N407" i="1"/>
  <c r="N408" i="1" a="1"/>
  <c r="N408" i="1"/>
  <c r="N409" i="1" a="1"/>
  <c r="N409" i="1"/>
  <c r="N410" i="1" a="1"/>
  <c r="N410" i="1"/>
  <c r="N411" i="1" a="1"/>
  <c r="N411" i="1"/>
  <c r="N412" i="1" a="1"/>
  <c r="N412" i="1"/>
  <c r="N413" i="1" a="1"/>
  <c r="N413" i="1"/>
  <c r="N414" i="1" a="1"/>
  <c r="N414" i="1"/>
  <c r="N415" i="1" a="1"/>
  <c r="N415" i="1"/>
  <c r="N416" i="1" a="1"/>
  <c r="N416" i="1"/>
  <c r="N417" i="1" a="1"/>
  <c r="N417" i="1"/>
  <c r="N418" i="1" a="1"/>
  <c r="N418" i="1"/>
  <c r="N419" i="1" a="1"/>
  <c r="N419" i="1"/>
  <c r="N420" i="1" a="1"/>
  <c r="N420" i="1"/>
  <c r="N421" i="1" a="1"/>
  <c r="N421" i="1"/>
  <c r="N422" i="1" a="1"/>
  <c r="N422" i="1"/>
  <c r="N423" i="1" a="1"/>
  <c r="N423" i="1"/>
  <c r="N424" i="1" a="1"/>
  <c r="N424" i="1"/>
  <c r="N425" i="1" a="1"/>
  <c r="N425" i="1"/>
  <c r="N426" i="1" a="1"/>
  <c r="N426" i="1"/>
  <c r="N427" i="1" a="1"/>
  <c r="N427" i="1"/>
  <c r="N428" i="1" a="1"/>
  <c r="N428" i="1"/>
  <c r="N429" i="1" a="1"/>
  <c r="N429" i="1"/>
  <c r="N430" i="1" a="1"/>
  <c r="N430" i="1"/>
  <c r="N431" i="1" a="1"/>
  <c r="N431" i="1"/>
  <c r="N432" i="1" a="1"/>
  <c r="N432" i="1"/>
  <c r="N433" i="1" a="1"/>
  <c r="N433" i="1"/>
  <c r="N434" i="1" a="1"/>
  <c r="N434" i="1"/>
  <c r="N435" i="1" a="1"/>
  <c r="N435" i="1"/>
  <c r="N436" i="1" a="1"/>
  <c r="N436" i="1"/>
  <c r="N437" i="1" a="1"/>
  <c r="N437" i="1"/>
  <c r="N438" i="1" a="1"/>
  <c r="N438" i="1"/>
  <c r="N439" i="1" a="1"/>
  <c r="N439" i="1"/>
  <c r="N440" i="1" a="1"/>
  <c r="N440" i="1"/>
  <c r="N441" i="1" a="1"/>
  <c r="N441" i="1"/>
  <c r="N442" i="1" a="1"/>
  <c r="N442" i="1"/>
  <c r="N443" i="1" a="1"/>
  <c r="N443" i="1"/>
  <c r="N444" i="1" a="1"/>
  <c r="N444" i="1"/>
  <c r="N445" i="1" a="1"/>
  <c r="N445" i="1"/>
  <c r="N446" i="1" a="1"/>
  <c r="N446" i="1"/>
  <c r="N447" i="1" a="1"/>
  <c r="N447" i="1"/>
  <c r="N448" i="1" a="1"/>
  <c r="N448" i="1"/>
  <c r="N449" i="1" a="1"/>
  <c r="N449" i="1"/>
  <c r="N450" i="1" a="1"/>
  <c r="N450" i="1"/>
  <c r="N451" i="1" a="1"/>
  <c r="N451" i="1"/>
  <c r="N452" i="1" a="1"/>
  <c r="N452" i="1"/>
  <c r="N453" i="1" a="1"/>
  <c r="N453" i="1"/>
  <c r="N454" i="1" a="1"/>
  <c r="N454" i="1"/>
  <c r="N455" i="1" a="1"/>
  <c r="N455" i="1"/>
  <c r="N456" i="1" a="1"/>
  <c r="N456" i="1"/>
  <c r="N457" i="1" a="1"/>
  <c r="N457" i="1"/>
  <c r="N458" i="1" a="1"/>
  <c r="N458" i="1"/>
  <c r="N459" i="1" a="1"/>
  <c r="N459" i="1"/>
  <c r="N460" i="1" a="1"/>
  <c r="N460" i="1"/>
  <c r="N461" i="1" a="1"/>
  <c r="N461" i="1"/>
  <c r="N462" i="1" a="1"/>
  <c r="N462" i="1"/>
  <c r="N463" i="1" a="1"/>
  <c r="N463" i="1"/>
  <c r="N464" i="1" a="1"/>
  <c r="N464" i="1"/>
  <c r="N465" i="1" a="1"/>
  <c r="N465" i="1"/>
  <c r="N466" i="1" a="1"/>
  <c r="N466" i="1"/>
  <c r="N467" i="1" a="1"/>
  <c r="N467" i="1"/>
  <c r="N468" i="1" a="1"/>
  <c r="N468" i="1"/>
  <c r="N469" i="1" a="1"/>
  <c r="N469" i="1"/>
  <c r="N470" i="1" a="1"/>
  <c r="N470" i="1"/>
  <c r="N471" i="1" a="1"/>
  <c r="N471" i="1"/>
  <c r="N472" i="1" a="1"/>
  <c r="N472" i="1"/>
  <c r="N473" i="1" a="1"/>
  <c r="N473" i="1"/>
  <c r="N474" i="1" a="1"/>
  <c r="N474" i="1"/>
  <c r="N475" i="1" a="1"/>
  <c r="N475" i="1"/>
  <c r="N476" i="1" a="1"/>
  <c r="N476" i="1"/>
  <c r="N477" i="1" a="1"/>
  <c r="N477" i="1"/>
  <c r="N478" i="1" a="1"/>
  <c r="N478" i="1"/>
  <c r="N479" i="1" a="1"/>
  <c r="N479" i="1"/>
  <c r="N480" i="1" a="1"/>
  <c r="N480" i="1"/>
  <c r="N481" i="1" a="1"/>
  <c r="N481" i="1"/>
  <c r="N482" i="1" a="1"/>
  <c r="N482" i="1"/>
  <c r="N483" i="1" a="1"/>
  <c r="N483" i="1"/>
  <c r="N484" i="1" a="1"/>
  <c r="N484" i="1"/>
  <c r="N485" i="1" a="1"/>
  <c r="N485" i="1"/>
  <c r="N486" i="1" a="1"/>
  <c r="N486" i="1"/>
  <c r="N487" i="1" a="1"/>
  <c r="N487" i="1"/>
  <c r="N488" i="1" a="1"/>
  <c r="N488" i="1"/>
  <c r="N489" i="1" a="1"/>
  <c r="N489" i="1"/>
  <c r="N490" i="1" a="1"/>
  <c r="N490" i="1"/>
  <c r="N491" i="1" a="1"/>
  <c r="N491" i="1"/>
  <c r="N492" i="1" a="1"/>
  <c r="N492" i="1"/>
  <c r="N493" i="1" a="1"/>
  <c r="N493" i="1"/>
  <c r="N494" i="1" a="1"/>
  <c r="N494" i="1"/>
  <c r="N495" i="1" a="1"/>
  <c r="N495" i="1"/>
  <c r="N496" i="1" a="1"/>
  <c r="N496" i="1"/>
  <c r="N497" i="1" a="1"/>
  <c r="N497" i="1"/>
  <c r="N498" i="1" a="1"/>
  <c r="N498" i="1"/>
  <c r="N499" i="1" a="1"/>
  <c r="N499" i="1"/>
  <c r="N500" i="1" a="1"/>
  <c r="N500" i="1"/>
  <c r="N501" i="1" a="1"/>
  <c r="N501" i="1"/>
  <c r="N502" i="1" a="1"/>
  <c r="N502" i="1"/>
  <c r="N503" i="1" a="1"/>
  <c r="N503" i="1"/>
  <c r="N504" i="1" a="1"/>
  <c r="N504" i="1"/>
  <c r="N505" i="1" a="1"/>
  <c r="N505" i="1"/>
  <c r="N506" i="1" a="1"/>
  <c r="N506" i="1"/>
  <c r="N507" i="1" a="1"/>
  <c r="N507" i="1"/>
  <c r="N508" i="1" a="1"/>
  <c r="N508" i="1"/>
  <c r="N509" i="1" a="1"/>
  <c r="N509" i="1"/>
  <c r="N510" i="1" a="1"/>
  <c r="N510" i="1"/>
  <c r="N511" i="1" a="1"/>
  <c r="N511" i="1"/>
  <c r="N512" i="1" a="1"/>
  <c r="N512" i="1"/>
  <c r="N513" i="1" a="1"/>
  <c r="N513" i="1"/>
  <c r="N514" i="1" a="1"/>
  <c r="N514" i="1"/>
  <c r="N515" i="1" a="1"/>
  <c r="N515" i="1"/>
  <c r="N516" i="1" a="1"/>
  <c r="N516" i="1"/>
  <c r="N517" i="1" a="1"/>
  <c r="N517" i="1"/>
  <c r="N518" i="1" a="1"/>
  <c r="N518" i="1"/>
  <c r="N519" i="1" a="1"/>
  <c r="N519" i="1"/>
  <c r="N520" i="1" a="1"/>
  <c r="N520" i="1"/>
  <c r="N521" i="1" a="1"/>
  <c r="N521" i="1"/>
  <c r="N522" i="1" a="1"/>
  <c r="N522" i="1"/>
  <c r="N523" i="1" a="1"/>
  <c r="N523" i="1"/>
  <c r="N524" i="1" a="1"/>
  <c r="N524" i="1"/>
  <c r="N525" i="1" a="1"/>
  <c r="N525" i="1"/>
  <c r="N526" i="1" a="1"/>
  <c r="N526" i="1"/>
  <c r="N527" i="1" a="1"/>
  <c r="N527" i="1"/>
  <c r="N528" i="1" a="1"/>
  <c r="N528" i="1"/>
  <c r="N529" i="1" a="1"/>
  <c r="N529" i="1"/>
  <c r="N530" i="1" a="1"/>
  <c r="N530" i="1"/>
  <c r="N531" i="1" a="1"/>
  <c r="N531" i="1"/>
  <c r="N532" i="1" a="1"/>
  <c r="N532" i="1"/>
  <c r="N533" i="1" a="1"/>
  <c r="N533" i="1"/>
  <c r="N534" i="1" a="1"/>
  <c r="N534" i="1"/>
  <c r="N535" i="1" a="1"/>
  <c r="N535" i="1"/>
  <c r="N536" i="1" a="1"/>
  <c r="N536" i="1"/>
  <c r="N537" i="1" a="1"/>
  <c r="N537" i="1"/>
  <c r="N538" i="1" a="1"/>
  <c r="N538" i="1"/>
  <c r="N539" i="1" a="1"/>
  <c r="N539" i="1"/>
  <c r="N540" i="1" a="1"/>
  <c r="N540" i="1"/>
  <c r="N541" i="1" a="1"/>
  <c r="N541" i="1"/>
  <c r="N542" i="1" a="1"/>
  <c r="N542" i="1"/>
  <c r="N543" i="1" a="1"/>
  <c r="N543" i="1"/>
  <c r="N544" i="1" a="1"/>
  <c r="N544" i="1"/>
  <c r="N545" i="1" a="1"/>
  <c r="N545" i="1"/>
  <c r="N546" i="1" a="1"/>
  <c r="N546" i="1"/>
  <c r="N547" i="1" a="1"/>
  <c r="N547" i="1"/>
  <c r="N548" i="1" a="1"/>
  <c r="N548" i="1"/>
  <c r="N549" i="1" a="1"/>
  <c r="N549" i="1"/>
  <c r="N550" i="1" a="1"/>
  <c r="N550" i="1"/>
  <c r="N551" i="1" a="1"/>
  <c r="N551" i="1"/>
  <c r="N552" i="1" a="1"/>
  <c r="N552" i="1"/>
  <c r="N553" i="1" a="1"/>
  <c r="N553" i="1"/>
  <c r="N554" i="1" a="1"/>
  <c r="N554" i="1"/>
  <c r="N555" i="1" a="1"/>
  <c r="N555" i="1"/>
  <c r="N556" i="1" a="1"/>
  <c r="N556" i="1"/>
  <c r="N557" i="1" a="1"/>
  <c r="N557" i="1"/>
  <c r="N558" i="1" a="1"/>
  <c r="N558" i="1"/>
  <c r="N559" i="1" a="1"/>
  <c r="N559" i="1"/>
  <c r="N560" i="1" a="1"/>
  <c r="N560" i="1"/>
  <c r="N561" i="1" a="1"/>
  <c r="N561" i="1"/>
  <c r="N562" i="1" a="1"/>
  <c r="N562" i="1"/>
  <c r="N563" i="1" a="1"/>
  <c r="N563" i="1"/>
  <c r="N564" i="1" a="1"/>
  <c r="N564" i="1"/>
  <c r="N565" i="1" a="1"/>
  <c r="N565" i="1"/>
  <c r="N566" i="1" a="1"/>
  <c r="N566" i="1"/>
  <c r="N567" i="1" a="1"/>
  <c r="N567" i="1"/>
  <c r="N568" i="1" a="1"/>
  <c r="N568" i="1"/>
  <c r="N569" i="1" a="1"/>
  <c r="N569" i="1"/>
  <c r="N570" i="1" a="1"/>
  <c r="N570" i="1"/>
  <c r="N571" i="1" a="1"/>
  <c r="N571" i="1"/>
  <c r="N572" i="1" a="1"/>
  <c r="N572" i="1"/>
  <c r="N573" i="1" a="1"/>
  <c r="N573" i="1"/>
  <c r="N574" i="1" a="1"/>
  <c r="N574" i="1"/>
  <c r="N575" i="1" a="1"/>
  <c r="N575" i="1"/>
  <c r="N576" i="1" a="1"/>
  <c r="N576" i="1"/>
  <c r="N577" i="1" a="1"/>
  <c r="N577" i="1"/>
  <c r="N578" i="1" a="1"/>
  <c r="N578" i="1"/>
  <c r="N579" i="1" a="1"/>
  <c r="N579" i="1"/>
  <c r="N580" i="1" a="1"/>
  <c r="N580" i="1"/>
  <c r="N581" i="1" a="1"/>
  <c r="N581" i="1"/>
  <c r="N582" i="1" a="1"/>
  <c r="N582" i="1"/>
  <c r="N583" i="1" a="1"/>
  <c r="N583" i="1"/>
  <c r="N584" i="1" a="1"/>
  <c r="N584" i="1"/>
  <c r="N585" i="1" a="1"/>
  <c r="N585" i="1"/>
  <c r="N586" i="1" a="1"/>
  <c r="N586" i="1"/>
  <c r="N587" i="1" a="1"/>
  <c r="N587" i="1"/>
  <c r="N588" i="1" a="1"/>
  <c r="N588" i="1"/>
  <c r="N589" i="1" a="1"/>
  <c r="N589" i="1"/>
  <c r="N590" i="1" a="1"/>
  <c r="N590" i="1"/>
  <c r="N591" i="1" a="1"/>
  <c r="N591" i="1"/>
  <c r="N592" i="1" a="1"/>
  <c r="N592" i="1"/>
  <c r="N593" i="1" a="1"/>
  <c r="N593" i="1"/>
  <c r="N594" i="1" a="1"/>
  <c r="N594" i="1"/>
  <c r="N595" i="1" a="1"/>
  <c r="N595" i="1"/>
  <c r="N596" i="1" a="1"/>
  <c r="N596" i="1"/>
  <c r="N597" i="1" a="1"/>
  <c r="N597" i="1"/>
  <c r="N598" i="1" a="1"/>
  <c r="N598" i="1"/>
  <c r="N599" i="1" a="1"/>
  <c r="N599" i="1"/>
  <c r="N600" i="1" a="1"/>
  <c r="N600" i="1"/>
  <c r="N601" i="1" a="1"/>
  <c r="N601" i="1"/>
  <c r="N602" i="1" a="1"/>
  <c r="N602" i="1"/>
  <c r="N603" i="1" a="1"/>
  <c r="N603" i="1"/>
  <c r="N604" i="1" a="1"/>
  <c r="N604" i="1"/>
  <c r="N605" i="1" a="1"/>
  <c r="N605" i="1"/>
  <c r="N606" i="1" a="1"/>
  <c r="N606" i="1"/>
  <c r="N607" i="1" a="1"/>
  <c r="N607" i="1"/>
  <c r="N608" i="1" a="1"/>
  <c r="N608" i="1"/>
  <c r="N609" i="1" a="1"/>
  <c r="N609" i="1"/>
  <c r="N610" i="1" a="1"/>
  <c r="N610" i="1"/>
  <c r="N611" i="1" a="1"/>
  <c r="N611" i="1"/>
  <c r="N612" i="1" a="1"/>
  <c r="N612" i="1"/>
  <c r="N613" i="1" a="1"/>
  <c r="N613" i="1"/>
  <c r="N614" i="1" a="1"/>
  <c r="N614" i="1"/>
  <c r="N615" i="1" a="1"/>
  <c r="N615" i="1"/>
  <c r="N616" i="1" a="1"/>
  <c r="N616" i="1"/>
  <c r="N617" i="1" a="1"/>
  <c r="N617" i="1"/>
  <c r="N618" i="1" a="1"/>
  <c r="N618" i="1"/>
  <c r="N619" i="1" a="1"/>
  <c r="N619" i="1"/>
  <c r="N620" i="1" a="1"/>
  <c r="N620" i="1"/>
  <c r="N621" i="1" a="1"/>
  <c r="N621" i="1"/>
  <c r="N622" i="1" a="1"/>
  <c r="N622" i="1"/>
  <c r="N623" i="1" a="1"/>
  <c r="N623" i="1"/>
  <c r="N624" i="1" a="1"/>
  <c r="N624" i="1"/>
  <c r="N625" i="1" a="1"/>
  <c r="N625" i="1"/>
  <c r="N626" i="1" a="1"/>
  <c r="N626" i="1"/>
  <c r="N627" i="1" a="1"/>
  <c r="N627" i="1"/>
  <c r="N628" i="1" a="1"/>
  <c r="N628" i="1"/>
  <c r="N629" i="1" a="1"/>
  <c r="N629" i="1"/>
  <c r="N630" i="1" a="1"/>
  <c r="N630" i="1"/>
  <c r="N631" i="1" a="1"/>
  <c r="N631" i="1"/>
  <c r="N632" i="1" a="1"/>
  <c r="N632" i="1"/>
  <c r="N633" i="1" a="1"/>
  <c r="N633" i="1"/>
  <c r="N634" i="1" a="1"/>
  <c r="N634" i="1"/>
  <c r="N635" i="1" a="1"/>
  <c r="N635" i="1"/>
  <c r="N636" i="1" a="1"/>
  <c r="N636" i="1"/>
  <c r="N637" i="1" a="1"/>
  <c r="N637" i="1"/>
  <c r="N638" i="1" a="1"/>
  <c r="N638" i="1"/>
  <c r="N639" i="1" a="1"/>
  <c r="N639" i="1"/>
  <c r="N640" i="1" a="1"/>
  <c r="N640" i="1"/>
  <c r="N641" i="1" a="1"/>
  <c r="N641" i="1"/>
  <c r="N642" i="1" a="1"/>
  <c r="N642" i="1"/>
  <c r="N643" i="1" a="1"/>
  <c r="N643" i="1"/>
  <c r="N644" i="1" a="1"/>
  <c r="N644" i="1"/>
  <c r="N645" i="1" a="1"/>
  <c r="N645" i="1"/>
  <c r="N646" i="1" a="1"/>
  <c r="N646" i="1"/>
  <c r="N647" i="1" a="1"/>
  <c r="N647" i="1"/>
  <c r="N648" i="1" a="1"/>
  <c r="N648" i="1"/>
  <c r="N649" i="1" a="1"/>
  <c r="N649" i="1"/>
  <c r="N650" i="1" a="1"/>
  <c r="N650" i="1"/>
  <c r="N651" i="1" a="1"/>
  <c r="N651" i="1"/>
  <c r="N652" i="1" a="1"/>
  <c r="N652" i="1"/>
  <c r="N653" i="1" a="1"/>
  <c r="N653" i="1"/>
  <c r="N654" i="1" a="1"/>
  <c r="N654" i="1"/>
  <c r="N655" i="1" a="1"/>
  <c r="N655" i="1"/>
  <c r="N656" i="1" a="1"/>
  <c r="N656" i="1"/>
  <c r="N657" i="1" a="1"/>
  <c r="N657" i="1"/>
  <c r="N658" i="1" a="1"/>
  <c r="N658" i="1"/>
  <c r="N659" i="1" a="1"/>
  <c r="N659" i="1"/>
  <c r="N660" i="1" a="1"/>
  <c r="N660" i="1"/>
  <c r="N661" i="1" a="1"/>
  <c r="N661" i="1"/>
  <c r="N662" i="1" a="1"/>
  <c r="N662" i="1"/>
  <c r="N663" i="1" a="1"/>
  <c r="N663" i="1"/>
  <c r="N664" i="1" a="1"/>
  <c r="N664" i="1"/>
  <c r="N665" i="1" a="1"/>
  <c r="N665" i="1"/>
  <c r="N666" i="1" a="1"/>
  <c r="N666" i="1"/>
  <c r="N667" i="1" a="1"/>
  <c r="N667" i="1"/>
  <c r="N668" i="1" a="1"/>
  <c r="N668" i="1"/>
  <c r="N669" i="1" a="1"/>
  <c r="N669" i="1"/>
  <c r="N670" i="1" a="1"/>
  <c r="N670" i="1"/>
  <c r="N671" i="1" a="1"/>
  <c r="N671" i="1"/>
  <c r="N672" i="1" a="1"/>
  <c r="N672" i="1"/>
  <c r="N673" i="1" a="1"/>
  <c r="N673" i="1"/>
  <c r="N674" i="1" a="1"/>
  <c r="N674" i="1"/>
  <c r="N675" i="1" a="1"/>
  <c r="N675" i="1"/>
  <c r="N676" i="1" a="1"/>
  <c r="N676" i="1"/>
  <c r="N677" i="1" a="1"/>
  <c r="N677" i="1"/>
  <c r="N678" i="1" a="1"/>
  <c r="N678" i="1"/>
  <c r="N679" i="1" a="1"/>
  <c r="N679" i="1"/>
  <c r="N680" i="1" a="1"/>
  <c r="N680" i="1"/>
  <c r="N681" i="1" a="1"/>
  <c r="N681" i="1"/>
  <c r="N682" i="1" a="1"/>
  <c r="N682" i="1"/>
  <c r="N683" i="1" a="1"/>
  <c r="N683" i="1"/>
  <c r="N684" i="1" a="1"/>
  <c r="N684" i="1"/>
  <c r="N685" i="1" a="1"/>
  <c r="N685" i="1"/>
  <c r="N686" i="1" a="1"/>
  <c r="N686" i="1"/>
  <c r="N687" i="1" a="1"/>
  <c r="N687" i="1"/>
  <c r="N688" i="1" a="1"/>
  <c r="N688" i="1"/>
  <c r="N689" i="1" a="1"/>
  <c r="N689" i="1"/>
  <c r="N690" i="1" a="1"/>
  <c r="N690" i="1"/>
  <c r="N691" i="1" a="1"/>
  <c r="N691" i="1"/>
  <c r="N692" i="1" a="1"/>
  <c r="N692" i="1"/>
  <c r="N693" i="1" a="1"/>
  <c r="N693" i="1"/>
  <c r="N694" i="1" a="1"/>
  <c r="N694" i="1"/>
  <c r="N695" i="1" a="1"/>
  <c r="N695" i="1"/>
  <c r="N696" i="1" a="1"/>
  <c r="N696" i="1"/>
  <c r="N697" i="1" a="1"/>
  <c r="N697" i="1"/>
  <c r="N698" i="1" a="1"/>
  <c r="N698" i="1"/>
  <c r="N699" i="1" a="1"/>
  <c r="N699" i="1"/>
  <c r="N700" i="1" a="1"/>
  <c r="N700" i="1"/>
  <c r="N701" i="1" a="1"/>
  <c r="N701" i="1"/>
  <c r="N702" i="1" a="1"/>
  <c r="N702" i="1"/>
  <c r="N703" i="1" a="1"/>
  <c r="N703" i="1"/>
  <c r="N704" i="1" a="1"/>
  <c r="N704" i="1"/>
  <c r="N705" i="1" a="1"/>
  <c r="N705" i="1"/>
  <c r="N706" i="1" a="1"/>
  <c r="N706" i="1"/>
  <c r="N707" i="1" a="1"/>
  <c r="N707" i="1"/>
  <c r="N708" i="1" a="1"/>
  <c r="N708" i="1"/>
  <c r="N709" i="1" a="1"/>
  <c r="N709" i="1"/>
  <c r="N710" i="1" a="1"/>
  <c r="N710" i="1"/>
  <c r="N711" i="1" a="1"/>
  <c r="N711" i="1"/>
  <c r="N712" i="1" a="1"/>
  <c r="N712" i="1"/>
  <c r="N713" i="1" a="1"/>
  <c r="N713" i="1"/>
  <c r="N714" i="1" a="1"/>
  <c r="N714" i="1"/>
  <c r="N715" i="1" a="1"/>
  <c r="N715" i="1"/>
  <c r="N716" i="1" a="1"/>
  <c r="N716" i="1"/>
  <c r="N717" i="1" a="1"/>
  <c r="N717" i="1"/>
  <c r="N718" i="1" a="1"/>
  <c r="N718" i="1"/>
  <c r="N719" i="1" a="1"/>
  <c r="N719" i="1"/>
  <c r="N720" i="1" a="1"/>
  <c r="N720" i="1"/>
  <c r="N721" i="1" a="1"/>
  <c r="N721" i="1"/>
  <c r="N722" i="1" a="1"/>
  <c r="N722" i="1"/>
  <c r="N723" i="1" a="1"/>
  <c r="N723" i="1"/>
  <c r="N724" i="1" a="1"/>
  <c r="N724" i="1"/>
  <c r="N725" i="1" a="1"/>
  <c r="N725" i="1"/>
  <c r="N726" i="1" a="1"/>
  <c r="N726" i="1"/>
  <c r="N727" i="1" a="1"/>
  <c r="N727" i="1"/>
  <c r="N728" i="1" a="1"/>
  <c r="N728" i="1"/>
  <c r="N729" i="1" a="1"/>
  <c r="N729" i="1"/>
  <c r="N730" i="1" a="1"/>
  <c r="N730" i="1"/>
  <c r="N731" i="1" a="1"/>
  <c r="N731" i="1"/>
  <c r="N732" i="1" a="1"/>
  <c r="N732" i="1"/>
  <c r="N733" i="1" a="1"/>
  <c r="N733" i="1"/>
  <c r="N734" i="1" a="1"/>
  <c r="N734" i="1"/>
  <c r="N735" i="1" a="1"/>
  <c r="N735" i="1"/>
  <c r="N736" i="1" a="1"/>
  <c r="N736" i="1"/>
  <c r="N737" i="1" a="1"/>
  <c r="N737" i="1"/>
  <c r="N738" i="1" a="1"/>
  <c r="N738" i="1"/>
  <c r="N739" i="1" a="1"/>
  <c r="N739" i="1"/>
  <c r="N740" i="1" a="1"/>
  <c r="N740" i="1"/>
  <c r="N741" i="1" a="1"/>
  <c r="N741" i="1"/>
  <c r="N742" i="1" a="1"/>
  <c r="N742" i="1"/>
  <c r="N743" i="1" a="1"/>
  <c r="N743" i="1"/>
  <c r="N744" i="1" a="1"/>
  <c r="N744" i="1"/>
  <c r="N745" i="1" a="1"/>
  <c r="N745" i="1"/>
  <c r="N746" i="1" a="1"/>
  <c r="N746" i="1"/>
  <c r="N747" i="1" a="1"/>
  <c r="N747" i="1"/>
  <c r="N748" i="1" a="1"/>
  <c r="N748" i="1"/>
  <c r="N749" i="1" a="1"/>
  <c r="N749" i="1"/>
  <c r="N750" i="1" a="1"/>
  <c r="N750" i="1"/>
  <c r="N751" i="1" a="1"/>
  <c r="N751" i="1"/>
  <c r="N752" i="1" a="1"/>
  <c r="N752" i="1"/>
  <c r="N753" i="1" a="1"/>
  <c r="N753" i="1"/>
  <c r="N754" i="1" a="1"/>
  <c r="N754" i="1"/>
  <c r="N755" i="1" a="1"/>
  <c r="N755" i="1"/>
  <c r="N756" i="1" a="1"/>
  <c r="N756" i="1"/>
  <c r="N757" i="1" a="1"/>
  <c r="N757" i="1"/>
  <c r="N758" i="1" a="1"/>
  <c r="N758" i="1"/>
  <c r="N759" i="1" a="1"/>
  <c r="N759" i="1"/>
  <c r="N760" i="1" a="1"/>
  <c r="N760" i="1"/>
  <c r="N761" i="1" a="1"/>
  <c r="N761" i="1"/>
  <c r="N762" i="1" a="1"/>
  <c r="N762" i="1"/>
  <c r="N763" i="1" a="1"/>
  <c r="N763" i="1"/>
  <c r="N764" i="1" a="1"/>
  <c r="N764" i="1"/>
  <c r="N765" i="1" a="1"/>
  <c r="N765" i="1"/>
  <c r="N766" i="1" a="1"/>
  <c r="N766" i="1"/>
  <c r="N767" i="1" a="1"/>
  <c r="N767" i="1"/>
  <c r="N768" i="1" a="1"/>
  <c r="N768" i="1"/>
  <c r="N769" i="1" a="1"/>
  <c r="N769" i="1"/>
  <c r="N770" i="1" a="1"/>
  <c r="N770" i="1"/>
  <c r="N771" i="1" a="1"/>
  <c r="N771" i="1"/>
  <c r="N772" i="1" a="1"/>
  <c r="N772" i="1"/>
  <c r="N773" i="1" a="1"/>
  <c r="N773" i="1"/>
  <c r="N774" i="1" a="1"/>
  <c r="N774" i="1"/>
  <c r="N775" i="1" a="1"/>
  <c r="N775" i="1"/>
  <c r="N776" i="1" a="1"/>
  <c r="N776" i="1"/>
  <c r="N777" i="1" a="1"/>
  <c r="N777" i="1"/>
  <c r="N778" i="1" a="1"/>
  <c r="N778" i="1"/>
  <c r="N779" i="1" a="1"/>
  <c r="N779" i="1"/>
  <c r="N780" i="1" a="1"/>
  <c r="N780" i="1"/>
  <c r="N781" i="1" a="1"/>
  <c r="N781" i="1"/>
  <c r="N782" i="1" a="1"/>
  <c r="N782" i="1"/>
  <c r="N783" i="1" a="1"/>
  <c r="N783" i="1"/>
  <c r="N784" i="1" a="1"/>
  <c r="N784" i="1"/>
  <c r="N785" i="1" a="1"/>
  <c r="N785" i="1"/>
  <c r="N786" i="1" a="1"/>
  <c r="N786" i="1"/>
  <c r="N787" i="1" a="1"/>
  <c r="N787" i="1"/>
  <c r="N788" i="1" a="1"/>
  <c r="N788" i="1"/>
  <c r="N789" i="1" a="1"/>
  <c r="N789" i="1"/>
  <c r="N790" i="1" a="1"/>
  <c r="N790" i="1"/>
  <c r="N791" i="1" a="1"/>
  <c r="N791" i="1"/>
  <c r="N792" i="1" a="1"/>
  <c r="N792" i="1"/>
  <c r="N793" i="1" a="1"/>
  <c r="N793" i="1"/>
  <c r="N794" i="1" a="1"/>
  <c r="N794" i="1"/>
  <c r="N795" i="1" a="1"/>
  <c r="N795" i="1"/>
  <c r="N796" i="1" a="1"/>
  <c r="N796" i="1"/>
  <c r="N797" i="1" a="1"/>
  <c r="N797" i="1"/>
  <c r="N798" i="1" a="1"/>
  <c r="N798" i="1"/>
  <c r="N799" i="1" a="1"/>
  <c r="N799" i="1"/>
  <c r="N800" i="1" a="1"/>
  <c r="N800" i="1"/>
  <c r="N801" i="1" a="1"/>
  <c r="N801" i="1"/>
  <c r="N802" i="1" a="1"/>
  <c r="N802" i="1"/>
  <c r="N803" i="1" a="1"/>
  <c r="N803" i="1"/>
  <c r="N804" i="1" a="1"/>
  <c r="N804" i="1"/>
  <c r="N805" i="1" a="1"/>
  <c r="N805" i="1"/>
  <c r="N806" i="1" a="1"/>
  <c r="N806" i="1"/>
  <c r="N807" i="1" a="1"/>
  <c r="N807" i="1"/>
  <c r="N808" i="1" a="1"/>
  <c r="N808" i="1"/>
  <c r="N809" i="1" a="1"/>
  <c r="N809" i="1"/>
  <c r="N810" i="1" a="1"/>
  <c r="N810" i="1"/>
  <c r="N811" i="1" a="1"/>
  <c r="N811" i="1"/>
  <c r="N812" i="1" a="1"/>
  <c r="N812" i="1"/>
  <c r="N813" i="1" a="1"/>
  <c r="N813" i="1"/>
  <c r="N814" i="1" a="1"/>
  <c r="N814" i="1"/>
  <c r="N815" i="1" a="1"/>
  <c r="N815" i="1"/>
  <c r="N816" i="1" a="1"/>
  <c r="N816" i="1"/>
  <c r="N817" i="1" a="1"/>
  <c r="N817" i="1"/>
  <c r="N818" i="1" a="1"/>
  <c r="N818" i="1"/>
  <c r="N819" i="1" a="1"/>
  <c r="N819" i="1"/>
  <c r="N820" i="1" a="1"/>
  <c r="N820" i="1"/>
  <c r="N821" i="1" a="1"/>
  <c r="N821" i="1"/>
  <c r="N822" i="1" a="1"/>
  <c r="N822" i="1"/>
  <c r="N823" i="1" a="1"/>
  <c r="N823" i="1"/>
  <c r="N824" i="1" a="1"/>
  <c r="N824" i="1"/>
  <c r="N825" i="1" a="1"/>
  <c r="N825" i="1"/>
  <c r="N826" i="1" a="1"/>
  <c r="N826" i="1"/>
  <c r="N827" i="1" a="1"/>
  <c r="N827" i="1"/>
  <c r="N828" i="1" a="1"/>
  <c r="N828" i="1"/>
  <c r="N829" i="1" a="1"/>
  <c r="N829" i="1"/>
  <c r="N830" i="1" a="1"/>
  <c r="N830" i="1"/>
  <c r="N831" i="1" a="1"/>
  <c r="N831" i="1"/>
  <c r="N832" i="1" a="1"/>
  <c r="N832" i="1"/>
  <c r="N833" i="1" a="1"/>
  <c r="N833" i="1"/>
  <c r="N834" i="1" a="1"/>
  <c r="N834" i="1"/>
  <c r="N835" i="1" a="1"/>
  <c r="N835" i="1"/>
  <c r="N836" i="1" a="1"/>
  <c r="N836" i="1"/>
  <c r="N837" i="1" a="1"/>
  <c r="N837" i="1"/>
  <c r="N838" i="1" a="1"/>
  <c r="N838" i="1"/>
  <c r="N839" i="1" a="1"/>
  <c r="N839" i="1"/>
  <c r="N840" i="1" a="1"/>
  <c r="N840" i="1"/>
  <c r="N841" i="1" a="1"/>
  <c r="N841" i="1"/>
  <c r="N842" i="1" a="1"/>
  <c r="N842" i="1"/>
  <c r="N843" i="1" a="1"/>
  <c r="N843" i="1"/>
  <c r="N844" i="1" a="1"/>
  <c r="N844" i="1"/>
  <c r="N845" i="1" a="1"/>
  <c r="N845" i="1"/>
  <c r="N846" i="1" a="1"/>
  <c r="N846" i="1"/>
  <c r="N847" i="1" a="1"/>
  <c r="N847" i="1"/>
  <c r="N848" i="1" a="1"/>
  <c r="N848" i="1"/>
  <c r="N849" i="1" a="1"/>
  <c r="N849" i="1"/>
  <c r="N850" i="1" a="1"/>
  <c r="N850" i="1"/>
  <c r="N851" i="1" a="1"/>
  <c r="N851" i="1"/>
  <c r="N852" i="1" a="1"/>
  <c r="N852" i="1"/>
  <c r="N853" i="1" a="1"/>
  <c r="N853" i="1"/>
  <c r="N854" i="1" a="1"/>
  <c r="N854" i="1"/>
  <c r="N855" i="1" a="1"/>
  <c r="N855" i="1"/>
  <c r="N856" i="1" a="1"/>
  <c r="N856" i="1"/>
  <c r="N857" i="1" a="1"/>
  <c r="N857" i="1"/>
  <c r="N858" i="1" a="1"/>
  <c r="N858" i="1"/>
  <c r="N859" i="1" a="1"/>
  <c r="N859" i="1"/>
  <c r="N860" i="1" a="1"/>
  <c r="N860" i="1"/>
  <c r="N861" i="1" a="1"/>
  <c r="N861" i="1"/>
  <c r="N862" i="1" a="1"/>
  <c r="N862" i="1"/>
  <c r="N863" i="1" a="1"/>
  <c r="N863" i="1"/>
  <c r="N864" i="1" a="1"/>
  <c r="N864" i="1"/>
  <c r="N865" i="1" a="1"/>
  <c r="N865" i="1"/>
  <c r="N866" i="1" a="1"/>
  <c r="N866" i="1"/>
  <c r="N867" i="1" a="1"/>
  <c r="N867" i="1"/>
  <c r="N868" i="1" a="1"/>
  <c r="N868" i="1"/>
  <c r="N869" i="1" a="1"/>
  <c r="N869" i="1"/>
  <c r="N870" i="1" a="1"/>
  <c r="N870" i="1"/>
  <c r="N871" i="1" a="1"/>
  <c r="N871" i="1"/>
  <c r="N872" i="1" a="1"/>
  <c r="N872" i="1"/>
  <c r="N873" i="1" a="1"/>
  <c r="N873" i="1"/>
  <c r="N874" i="1" a="1"/>
  <c r="N874" i="1"/>
  <c r="N875" i="1" a="1"/>
  <c r="N875" i="1"/>
  <c r="N876" i="1" a="1"/>
  <c r="N876" i="1"/>
  <c r="N877" i="1" a="1"/>
  <c r="N877" i="1"/>
  <c r="N878" i="1" a="1"/>
  <c r="N878" i="1"/>
  <c r="N879" i="1" a="1"/>
  <c r="N879" i="1"/>
  <c r="N880" i="1" a="1"/>
  <c r="N880" i="1"/>
  <c r="N881" i="1" a="1"/>
  <c r="N881" i="1"/>
  <c r="N882" i="1" a="1"/>
  <c r="N882" i="1"/>
  <c r="N883" i="1" a="1"/>
  <c r="N883" i="1"/>
  <c r="N884" i="1" a="1"/>
  <c r="N884" i="1"/>
  <c r="N885" i="1" a="1"/>
  <c r="N885" i="1"/>
  <c r="N886" i="1" a="1"/>
  <c r="N886" i="1"/>
  <c r="N887" i="1" a="1"/>
  <c r="N887" i="1"/>
  <c r="N888" i="1" a="1"/>
  <c r="N888" i="1"/>
  <c r="N889" i="1" a="1"/>
  <c r="N889" i="1"/>
  <c r="N890" i="1" a="1"/>
  <c r="N890" i="1"/>
  <c r="N891" i="1" a="1"/>
  <c r="N891" i="1"/>
  <c r="N892" i="1" a="1"/>
  <c r="N892" i="1"/>
  <c r="N893" i="1" a="1"/>
  <c r="N893" i="1"/>
  <c r="N894" i="1" a="1"/>
  <c r="N894" i="1"/>
  <c r="N895" i="1" a="1"/>
  <c r="N895" i="1"/>
  <c r="N896" i="1" a="1"/>
  <c r="N896" i="1"/>
  <c r="N897" i="1" a="1"/>
  <c r="N897" i="1"/>
  <c r="N898" i="1" a="1"/>
  <c r="N898" i="1"/>
  <c r="N899" i="1" a="1"/>
  <c r="N899" i="1"/>
  <c r="N900" i="1" a="1"/>
  <c r="N900" i="1"/>
  <c r="N901" i="1" a="1"/>
  <c r="N901" i="1"/>
  <c r="N902" i="1" a="1"/>
  <c r="N902" i="1"/>
  <c r="N903" i="1" a="1"/>
  <c r="N903" i="1"/>
  <c r="N904" i="1" a="1"/>
  <c r="N904" i="1"/>
  <c r="N905" i="1" a="1"/>
  <c r="N905" i="1"/>
  <c r="N906" i="1" a="1"/>
  <c r="N906" i="1"/>
  <c r="N907" i="1" a="1"/>
  <c r="N907" i="1"/>
  <c r="N908" i="1" a="1"/>
  <c r="N908" i="1"/>
  <c r="N909" i="1" a="1"/>
  <c r="N909" i="1"/>
  <c r="N910" i="1" a="1"/>
  <c r="N910" i="1"/>
  <c r="N911" i="1" a="1"/>
  <c r="N911" i="1"/>
  <c r="N912" i="1" a="1"/>
  <c r="N912" i="1"/>
  <c r="N913" i="1" a="1"/>
  <c r="N913" i="1"/>
  <c r="N914" i="1" a="1"/>
  <c r="N914" i="1"/>
  <c r="N915" i="1" a="1"/>
  <c r="N915" i="1"/>
  <c r="N916" i="1" a="1"/>
  <c r="N916" i="1"/>
  <c r="N917" i="1" a="1"/>
  <c r="N917" i="1"/>
  <c r="N918" i="1" a="1"/>
  <c r="N918" i="1"/>
  <c r="N919" i="1" a="1"/>
  <c r="N919" i="1"/>
  <c r="N920" i="1" a="1"/>
  <c r="N920" i="1"/>
  <c r="N921" i="1" a="1"/>
  <c r="N921" i="1"/>
  <c r="N922" i="1" a="1"/>
  <c r="N922" i="1"/>
  <c r="N923" i="1" a="1"/>
  <c r="N923" i="1"/>
  <c r="N924" i="1" a="1"/>
  <c r="N924" i="1"/>
  <c r="N925" i="1" a="1"/>
  <c r="N925" i="1"/>
  <c r="N926" i="1" a="1"/>
  <c r="N926" i="1"/>
  <c r="N927" i="1" a="1"/>
  <c r="N927" i="1"/>
  <c r="N928" i="1" a="1"/>
  <c r="N928" i="1"/>
  <c r="N929" i="1" a="1"/>
  <c r="N929" i="1"/>
  <c r="N930" i="1" a="1"/>
  <c r="N930" i="1"/>
  <c r="N931" i="1" a="1"/>
  <c r="N931" i="1"/>
  <c r="N932" i="1" a="1"/>
  <c r="N932" i="1"/>
  <c r="N933" i="1" a="1"/>
  <c r="N933" i="1"/>
  <c r="N934" i="1" a="1"/>
  <c r="N934" i="1"/>
  <c r="N935" i="1" a="1"/>
  <c r="N935" i="1"/>
  <c r="N936" i="1" a="1"/>
  <c r="N936" i="1"/>
  <c r="N937" i="1" a="1"/>
  <c r="N937" i="1"/>
  <c r="N938" i="1" a="1"/>
  <c r="N938" i="1"/>
  <c r="N939" i="1" a="1"/>
  <c r="N939" i="1"/>
  <c r="N940" i="1" a="1"/>
  <c r="N940" i="1"/>
  <c r="N941" i="1" a="1"/>
  <c r="N941" i="1"/>
  <c r="N942" i="1" a="1"/>
  <c r="N942" i="1"/>
  <c r="N943" i="1" a="1"/>
  <c r="N943" i="1"/>
  <c r="N944" i="1" a="1"/>
  <c r="N944" i="1"/>
  <c r="N945" i="1" a="1"/>
  <c r="N945" i="1"/>
  <c r="N946" i="1" a="1"/>
  <c r="N946" i="1"/>
  <c r="N947" i="1" a="1"/>
  <c r="N947" i="1"/>
  <c r="N948" i="1" a="1"/>
  <c r="N948" i="1"/>
  <c r="N949" i="1" a="1"/>
  <c r="N949" i="1"/>
  <c r="N950" i="1" a="1"/>
  <c r="N950" i="1"/>
  <c r="N951" i="1" a="1"/>
  <c r="N951" i="1"/>
  <c r="N952" i="1" a="1"/>
  <c r="N952" i="1"/>
  <c r="N953" i="1" a="1"/>
  <c r="N953" i="1"/>
  <c r="N954" i="1" a="1"/>
  <c r="N954" i="1"/>
  <c r="N955" i="1" a="1"/>
  <c r="N955" i="1"/>
  <c r="N956" i="1" a="1"/>
  <c r="N956" i="1"/>
  <c r="N957" i="1" a="1"/>
  <c r="N957" i="1"/>
  <c r="N958" i="1" a="1"/>
  <c r="N958" i="1"/>
  <c r="N959" i="1" a="1"/>
  <c r="N959" i="1"/>
  <c r="N960" i="1" a="1"/>
  <c r="N960" i="1"/>
  <c r="N961" i="1" a="1"/>
  <c r="N961" i="1"/>
  <c r="N962" i="1" a="1"/>
  <c r="N962" i="1"/>
  <c r="N963" i="1" a="1"/>
  <c r="N963" i="1"/>
  <c r="N964" i="1" a="1"/>
  <c r="N964" i="1"/>
  <c r="N965" i="1" a="1"/>
  <c r="N965" i="1"/>
  <c r="N966" i="1" a="1"/>
  <c r="N966" i="1"/>
  <c r="N967" i="1" a="1"/>
  <c r="N967" i="1"/>
  <c r="N968" i="1" a="1"/>
  <c r="N968" i="1"/>
  <c r="N969" i="1" a="1"/>
  <c r="N969" i="1"/>
  <c r="N970" i="1" a="1"/>
  <c r="N970" i="1"/>
  <c r="N971" i="1" a="1"/>
  <c r="N971" i="1"/>
  <c r="N972" i="1" a="1"/>
  <c r="N972" i="1"/>
  <c r="N973" i="1" a="1"/>
  <c r="N973" i="1"/>
  <c r="N974" i="1" a="1"/>
  <c r="N974" i="1"/>
  <c r="N975" i="1" a="1"/>
  <c r="N975" i="1"/>
  <c r="N976" i="1" a="1"/>
  <c r="N976" i="1"/>
  <c r="N977" i="1" a="1"/>
  <c r="N977" i="1"/>
  <c r="N978" i="1" a="1"/>
  <c r="N978" i="1"/>
  <c r="N979" i="1" a="1"/>
  <c r="N979" i="1"/>
  <c r="N980" i="1" a="1"/>
  <c r="N980" i="1"/>
  <c r="N981" i="1" a="1"/>
  <c r="N981" i="1"/>
  <c r="N982" i="1" a="1"/>
  <c r="N982" i="1"/>
  <c r="N983" i="1" a="1"/>
  <c r="N983" i="1"/>
  <c r="N984" i="1" a="1"/>
  <c r="N984" i="1"/>
  <c r="N985" i="1" a="1"/>
  <c r="N985" i="1"/>
  <c r="N986" i="1" a="1"/>
  <c r="N986" i="1"/>
  <c r="N987" i="1" a="1"/>
  <c r="N987" i="1"/>
  <c r="N988" i="1" a="1"/>
  <c r="N988" i="1"/>
  <c r="N989" i="1" a="1"/>
  <c r="N989" i="1"/>
  <c r="N990" i="1" a="1"/>
  <c r="N990" i="1"/>
  <c r="N991" i="1" a="1"/>
  <c r="N991" i="1"/>
  <c r="N992" i="1" a="1"/>
  <c r="N992" i="1"/>
  <c r="N993" i="1" a="1"/>
  <c r="N993" i="1"/>
  <c r="N994" i="1" a="1"/>
  <c r="N994" i="1"/>
  <c r="N995" i="1" a="1"/>
  <c r="N995" i="1"/>
  <c r="N996" i="1" a="1"/>
  <c r="N996" i="1"/>
  <c r="N997" i="1" a="1"/>
  <c r="N997" i="1"/>
  <c r="N998" i="1" a="1"/>
  <c r="N998" i="1"/>
  <c r="N999" i="1" a="1"/>
  <c r="N999" i="1"/>
  <c r="N1000" i="1" a="1"/>
  <c r="N1000" i="1"/>
  <c r="N1001" i="1" a="1"/>
  <c r="N1001" i="1"/>
  <c r="N1002" i="1" a="1"/>
  <c r="N1002" i="1"/>
  <c r="N1003" i="1" a="1"/>
  <c r="N1003" i="1"/>
  <c r="N1004" i="1" a="1"/>
  <c r="N1004" i="1"/>
  <c r="N1005" i="1" a="1"/>
  <c r="N1005" i="1"/>
  <c r="N1006" i="1" a="1"/>
  <c r="N1006" i="1"/>
  <c r="N1007" i="1" a="1"/>
  <c r="N1007" i="1"/>
  <c r="N1008" i="1" a="1"/>
  <c r="N1008" i="1"/>
  <c r="N1009" i="1" a="1"/>
  <c r="N1009" i="1"/>
  <c r="N1010" i="1" a="1"/>
  <c r="N1010" i="1"/>
  <c r="N1011" i="1" a="1"/>
  <c r="N1011" i="1"/>
  <c r="N1012" i="1" a="1"/>
  <c r="N1012" i="1"/>
  <c r="N1013" i="1" a="1"/>
  <c r="N1013" i="1"/>
  <c r="N1014" i="1" a="1"/>
  <c r="N1014" i="1"/>
  <c r="N1015" i="1" a="1"/>
  <c r="N1015" i="1"/>
  <c r="N1016" i="1" a="1"/>
  <c r="N1016" i="1"/>
  <c r="N1017" i="1" a="1"/>
  <c r="N1017" i="1"/>
  <c r="N1018" i="1" a="1"/>
  <c r="N1018" i="1"/>
  <c r="N1019" i="1" a="1"/>
  <c r="N1019" i="1"/>
  <c r="N1020" i="1" a="1"/>
  <c r="N1020" i="1"/>
  <c r="N1021" i="1" a="1"/>
  <c r="N1021" i="1"/>
  <c r="N1022" i="1" a="1"/>
  <c r="N1022" i="1"/>
  <c r="N1023" i="1" a="1"/>
  <c r="N1023" i="1"/>
  <c r="N1024" i="1" a="1"/>
  <c r="N1024" i="1"/>
  <c r="N1025" i="1" a="1"/>
  <c r="N1025" i="1"/>
  <c r="N1026" i="1" a="1"/>
  <c r="N1026" i="1"/>
  <c r="N1027" i="1" a="1"/>
  <c r="N1027" i="1"/>
  <c r="N1028" i="1" a="1"/>
  <c r="N1028" i="1"/>
  <c r="N1029" i="1" a="1"/>
  <c r="N1029" i="1"/>
  <c r="N1030" i="1" a="1"/>
  <c r="N1030" i="1"/>
  <c r="N1031" i="1" a="1"/>
  <c r="N1031" i="1"/>
  <c r="N1032" i="1" a="1"/>
  <c r="N1032" i="1"/>
  <c r="N1033" i="1" a="1"/>
  <c r="N1033" i="1"/>
  <c r="N1034" i="1" a="1"/>
  <c r="N1034" i="1"/>
  <c r="N1035" i="1" a="1"/>
  <c r="N1035" i="1"/>
  <c r="N1036" i="1" a="1"/>
  <c r="N1036" i="1"/>
  <c r="N1037" i="1" a="1"/>
  <c r="N1037" i="1"/>
  <c r="N1038" i="1" a="1"/>
  <c r="N1038" i="1"/>
  <c r="N1039" i="1" a="1"/>
  <c r="N1039" i="1"/>
  <c r="N1040" i="1" a="1"/>
  <c r="N1040" i="1"/>
  <c r="N1041" i="1" a="1"/>
  <c r="N1041" i="1"/>
  <c r="N1042" i="1" a="1"/>
  <c r="N1042" i="1"/>
  <c r="N1043" i="1" a="1"/>
  <c r="N1043" i="1"/>
  <c r="N1044" i="1" a="1"/>
  <c r="N1044" i="1"/>
  <c r="N1045" i="1" a="1"/>
  <c r="N1045" i="1"/>
  <c r="N1046" i="1" a="1"/>
  <c r="N1046" i="1"/>
  <c r="N1047" i="1" a="1"/>
  <c r="N1047" i="1"/>
  <c r="N1048" i="1" a="1"/>
  <c r="N1048" i="1"/>
  <c r="N1049" i="1" a="1"/>
  <c r="N1049" i="1"/>
  <c r="N1050" i="1" a="1"/>
  <c r="N1050" i="1"/>
  <c r="N1051" i="1" a="1"/>
  <c r="N1051" i="1"/>
  <c r="N1052" i="1" a="1"/>
  <c r="N1052" i="1"/>
  <c r="N1053" i="1" a="1"/>
  <c r="N1053" i="1"/>
  <c r="N1054" i="1" a="1"/>
  <c r="N1054" i="1"/>
  <c r="N1055" i="1" a="1"/>
  <c r="N1055" i="1"/>
  <c r="N1056" i="1" a="1"/>
  <c r="N1056" i="1"/>
  <c r="N1057" i="1" a="1"/>
  <c r="N1057" i="1"/>
  <c r="N1058" i="1" a="1"/>
  <c r="N1058" i="1"/>
  <c r="N1059" i="1" a="1"/>
  <c r="N1059" i="1"/>
  <c r="N1060" i="1" a="1"/>
  <c r="N1060" i="1"/>
  <c r="N1061" i="1" a="1"/>
  <c r="N1061" i="1"/>
  <c r="N1062" i="1" a="1"/>
  <c r="N1062" i="1"/>
  <c r="N1063" i="1" a="1"/>
  <c r="N1063" i="1"/>
  <c r="N1064" i="1" a="1"/>
  <c r="N1064" i="1"/>
  <c r="N1065" i="1" a="1"/>
  <c r="N1065" i="1"/>
  <c r="N1066" i="1" a="1"/>
  <c r="N1066" i="1"/>
  <c r="N1067" i="1" a="1"/>
  <c r="N1067" i="1"/>
  <c r="N1068" i="1" a="1"/>
  <c r="N1068" i="1"/>
  <c r="N1069" i="1" a="1"/>
  <c r="N1069" i="1"/>
  <c r="N1070" i="1" a="1"/>
  <c r="N1070" i="1"/>
  <c r="N1071" i="1" a="1"/>
  <c r="N1071" i="1"/>
  <c r="N1072" i="1" a="1"/>
  <c r="N1072" i="1"/>
  <c r="N1073" i="1" a="1"/>
  <c r="N1073" i="1"/>
  <c r="N1074" i="1" a="1"/>
  <c r="N1074" i="1"/>
  <c r="N1075" i="1" a="1"/>
  <c r="N1075" i="1"/>
  <c r="N1076" i="1" a="1"/>
  <c r="N1076" i="1"/>
  <c r="N1077" i="1" a="1"/>
  <c r="N1077" i="1"/>
  <c r="N1078" i="1" a="1"/>
  <c r="N1078" i="1"/>
  <c r="N1079" i="1" a="1"/>
  <c r="N1079" i="1"/>
  <c r="N1080" i="1" a="1"/>
  <c r="N1080" i="1"/>
  <c r="N1081" i="1" a="1"/>
  <c r="N1081" i="1"/>
  <c r="N1082" i="1" a="1"/>
  <c r="N1082" i="1"/>
  <c r="N1083" i="1" a="1"/>
  <c r="N1083" i="1"/>
  <c r="N1084" i="1" a="1"/>
  <c r="N1084" i="1"/>
  <c r="N1085" i="1" a="1"/>
  <c r="N1085" i="1"/>
  <c r="N1086" i="1" a="1"/>
  <c r="N1086" i="1"/>
  <c r="N1087" i="1" a="1"/>
  <c r="N1087" i="1"/>
  <c r="N1088" i="1" a="1"/>
  <c r="N1088" i="1"/>
  <c r="N1089" i="1" a="1"/>
  <c r="N1089" i="1"/>
  <c r="N1090" i="1" a="1"/>
  <c r="N1090" i="1"/>
  <c r="N1091" i="1" a="1"/>
  <c r="N1091" i="1"/>
  <c r="N1092" i="1" a="1"/>
  <c r="N1092" i="1"/>
  <c r="N1093" i="1" a="1"/>
  <c r="N1093" i="1"/>
  <c r="N1094" i="1" a="1"/>
  <c r="N1094" i="1"/>
  <c r="N1095" i="1" a="1"/>
  <c r="N1095" i="1"/>
  <c r="N1096" i="1" a="1"/>
  <c r="N1096" i="1"/>
  <c r="N1097" i="1" a="1"/>
  <c r="N1097" i="1"/>
  <c r="N1098" i="1" a="1"/>
  <c r="N1098" i="1"/>
  <c r="N1099" i="1" a="1"/>
  <c r="N1099" i="1"/>
  <c r="N1100" i="1" a="1"/>
  <c r="N1100" i="1"/>
  <c r="N1101" i="1" a="1"/>
  <c r="N1101" i="1"/>
  <c r="N1102" i="1" a="1"/>
  <c r="N1102" i="1"/>
  <c r="N1103" i="1" a="1"/>
  <c r="N1103" i="1"/>
  <c r="N1104" i="1" a="1"/>
  <c r="N1104" i="1"/>
  <c r="N1105" i="1" a="1"/>
  <c r="N1105" i="1"/>
  <c r="N1106" i="1" a="1"/>
  <c r="N1106" i="1"/>
  <c r="N1107" i="1" a="1"/>
  <c r="N1107" i="1"/>
  <c r="N1108" i="1" a="1"/>
  <c r="N1108" i="1"/>
  <c r="N1109" i="1" a="1"/>
  <c r="N1109" i="1"/>
  <c r="N1110" i="1" a="1"/>
  <c r="N1110" i="1"/>
  <c r="N1111" i="1" a="1"/>
  <c r="N1111" i="1"/>
  <c r="N1112" i="1" a="1"/>
  <c r="N1112" i="1"/>
  <c r="N1113" i="1" a="1"/>
  <c r="N1113" i="1"/>
  <c r="N1114" i="1" a="1"/>
  <c r="N1114" i="1"/>
  <c r="N1115" i="1" a="1"/>
  <c r="N1115" i="1"/>
  <c r="N1116" i="1" a="1"/>
  <c r="N1116" i="1"/>
  <c r="N1117" i="1" a="1"/>
  <c r="N1117" i="1"/>
  <c r="N1118" i="1" a="1"/>
  <c r="N1118" i="1"/>
  <c r="N1119" i="1" a="1"/>
  <c r="N1119" i="1"/>
  <c r="N1120" i="1" a="1"/>
  <c r="N1120" i="1"/>
  <c r="N1121" i="1" a="1"/>
  <c r="N1121" i="1"/>
  <c r="N1122" i="1" a="1"/>
  <c r="N1122" i="1"/>
  <c r="N1123" i="1" a="1"/>
  <c r="N1123" i="1"/>
  <c r="N1124" i="1" a="1"/>
  <c r="N1124" i="1"/>
  <c r="N1125" i="1" a="1"/>
  <c r="N1125" i="1"/>
  <c r="N1126" i="1" a="1"/>
  <c r="N1126" i="1"/>
  <c r="N1127" i="1" a="1"/>
  <c r="N1127" i="1"/>
  <c r="N1128" i="1" a="1"/>
  <c r="N1128" i="1"/>
  <c r="N1129" i="1" a="1"/>
  <c r="N1129" i="1"/>
  <c r="N1130" i="1" a="1"/>
  <c r="N1130" i="1"/>
  <c r="N1131" i="1" a="1"/>
  <c r="N1131" i="1"/>
  <c r="N1132" i="1" a="1"/>
  <c r="N1132" i="1"/>
  <c r="N1133" i="1" a="1"/>
  <c r="N1133" i="1"/>
  <c r="N1134" i="1" a="1"/>
  <c r="N1134" i="1"/>
  <c r="N1135" i="1" a="1"/>
  <c r="N1135" i="1"/>
  <c r="N1136" i="1" a="1"/>
  <c r="N1136" i="1"/>
  <c r="N1137" i="1" a="1"/>
  <c r="N1137" i="1"/>
  <c r="N1138" i="1" a="1"/>
  <c r="N1138" i="1"/>
  <c r="N1139" i="1" a="1"/>
  <c r="N1139" i="1"/>
  <c r="N1140" i="1" a="1"/>
  <c r="N1140" i="1"/>
  <c r="N1141" i="1" a="1"/>
  <c r="N1141" i="1"/>
  <c r="N1142" i="1" a="1"/>
  <c r="N1142" i="1"/>
  <c r="N1143" i="1" a="1"/>
  <c r="N1143" i="1"/>
  <c r="N1144" i="1" a="1"/>
  <c r="N1144" i="1"/>
  <c r="N1145" i="1" a="1"/>
  <c r="N1145" i="1"/>
  <c r="N1146" i="1" a="1"/>
  <c r="N1146" i="1"/>
  <c r="N1147" i="1" a="1"/>
  <c r="N1147" i="1"/>
  <c r="N1148" i="1" a="1"/>
  <c r="N1148" i="1"/>
  <c r="N1149" i="1" a="1"/>
  <c r="N1149" i="1"/>
  <c r="N1150" i="1" a="1"/>
  <c r="N1150" i="1"/>
  <c r="N1151" i="1" a="1"/>
  <c r="N1151" i="1"/>
  <c r="N1152" i="1" a="1"/>
  <c r="N1152" i="1"/>
  <c r="N1153" i="1" a="1"/>
  <c r="N1153" i="1"/>
  <c r="N1154" i="1" a="1"/>
  <c r="N1154" i="1"/>
  <c r="N1155" i="1" a="1"/>
  <c r="N1155" i="1"/>
  <c r="N1156" i="1" a="1"/>
  <c r="N1156" i="1"/>
  <c r="N1157" i="1" a="1"/>
  <c r="N1157" i="1"/>
  <c r="N1158" i="1" a="1"/>
  <c r="N1158" i="1"/>
  <c r="N1159" i="1" a="1"/>
  <c r="N1159" i="1"/>
  <c r="N1160" i="1" a="1"/>
  <c r="N1160" i="1"/>
  <c r="N1161" i="1" a="1"/>
  <c r="N1161" i="1"/>
  <c r="N1162" i="1" a="1"/>
  <c r="N1162" i="1"/>
  <c r="N1163" i="1" a="1"/>
  <c r="N1163" i="1"/>
  <c r="N1164" i="1" a="1"/>
  <c r="N1164" i="1"/>
  <c r="N1165" i="1" a="1"/>
  <c r="N1165" i="1"/>
  <c r="N1166" i="1" a="1"/>
  <c r="N1166" i="1"/>
  <c r="N1167" i="1" a="1"/>
  <c r="N1167" i="1"/>
  <c r="N1168" i="1" a="1"/>
  <c r="N1168" i="1"/>
  <c r="N1169" i="1" a="1"/>
  <c r="N1169" i="1"/>
  <c r="N1170" i="1" a="1"/>
  <c r="N1170" i="1"/>
  <c r="N1171" i="1" a="1"/>
  <c r="N1171" i="1"/>
  <c r="N1172" i="1" a="1"/>
  <c r="N1172" i="1"/>
  <c r="N1173" i="1" a="1"/>
  <c r="N1173" i="1"/>
  <c r="N1174" i="1" a="1"/>
  <c r="N1174" i="1"/>
  <c r="N1175" i="1" a="1"/>
  <c r="N1175" i="1"/>
  <c r="N1176" i="1" a="1"/>
  <c r="N1176" i="1"/>
  <c r="N1177" i="1" a="1"/>
  <c r="N1177" i="1"/>
  <c r="N1178" i="1" a="1"/>
  <c r="N1178" i="1"/>
  <c r="N1179" i="1" a="1"/>
  <c r="N1179" i="1"/>
  <c r="N1180" i="1" a="1"/>
  <c r="N1180" i="1"/>
  <c r="N1181" i="1" a="1"/>
  <c r="N1181" i="1"/>
  <c r="N1182" i="1" a="1"/>
  <c r="N1182" i="1"/>
  <c r="N1183" i="1" a="1"/>
  <c r="N1183" i="1"/>
  <c r="N1184" i="1" a="1"/>
  <c r="N1184" i="1"/>
  <c r="N1185" i="1" a="1"/>
  <c r="N1185" i="1"/>
  <c r="N1186" i="1" a="1"/>
  <c r="N1186" i="1"/>
  <c r="N1187" i="1" a="1"/>
  <c r="N1187" i="1"/>
  <c r="N1188" i="1" a="1"/>
  <c r="N1188" i="1"/>
  <c r="N1189" i="1" a="1"/>
  <c r="N1189" i="1"/>
  <c r="N1190" i="1" a="1"/>
  <c r="N1190" i="1"/>
  <c r="N1191" i="1" a="1"/>
  <c r="N1191" i="1"/>
  <c r="N1192" i="1" a="1"/>
  <c r="N1192" i="1"/>
  <c r="N1193" i="1" a="1"/>
  <c r="N1193" i="1"/>
  <c r="N1194" i="1" a="1"/>
  <c r="N1194" i="1"/>
  <c r="N1195" i="1" a="1"/>
  <c r="N1195" i="1"/>
  <c r="N1196" i="1" a="1"/>
  <c r="N1196" i="1"/>
  <c r="N1197" i="1" a="1"/>
  <c r="N1197" i="1"/>
  <c r="N1198" i="1" a="1"/>
  <c r="N1198" i="1"/>
  <c r="N1199" i="1" a="1"/>
  <c r="N1199" i="1"/>
  <c r="N1200" i="1" a="1"/>
  <c r="N1200" i="1"/>
  <c r="N1201" i="1" a="1"/>
  <c r="N1201" i="1"/>
  <c r="N2" i="1" a="1"/>
  <c r="N2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<sst xmlns="http://schemas.openxmlformats.org/spreadsheetml/2006/main" count="6067" uniqueCount="2448">
  <si>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</si>
  <si>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</si>
  <si>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</si>
  <si>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</si>
  <si>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</si>
  <si>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</si>
  <si>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</si>
  <si>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</si>
  <si>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</si>
  <si>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</si>
  <si>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</si>
  <si>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</si>
  <si>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</si>
  <si>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</si>
  <si>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</si>
  <si>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</si>
  <si>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</si>
  <si>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</si>
  <si>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</si>
  <si>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</si>
  <si>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</si>
  <si>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</si>
  <si>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</si>
  <si>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</si>
  <si>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</si>
  <si>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</si>
  <si>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</si>
  <si>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</si>
  <si>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</si>
  <si>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</si>
  <si>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</si>
  <si>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</si>
  <si>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</si>
  <si>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</si>
  <si>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</si>
  <si>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</si>
  <si>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</si>
  <si>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</si>
  <si>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</si>
  <si>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</si>
  <si>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</si>
  <si>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</si>
  <si>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</si>
  <si>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</si>
  <si>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</si>
  <si>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</si>
  <si>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</si>
  <si>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</si>
  <si>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</si>
  <si>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</si>
  <si>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</si>
  <si>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</si>
  <si>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</si>
  <si>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</si>
  <si>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</si>
  <si>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</si>
  <si>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</si>
  <si>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</si>
  <si>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</si>
  <si>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</si>
  <si>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</si>
  <si>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</si>
  <si>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</si>
  <si>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</si>
  <si>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</si>
  <si>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</si>
  <si>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</si>
  <si>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</si>
  <si>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</si>
  <si>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</si>
  <si>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</si>
  <si>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</si>
  <si>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</si>
  <si>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</si>
  <si>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</si>
  <si>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</si>
  <si>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</si>
  <si>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</si>
  <si>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</si>
  <si>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</si>
  <si>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</si>
  <si>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</si>
  <si>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</si>
  <si>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</si>
  <si>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</si>
  <si>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</si>
  <si>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</si>
  <si>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</si>
  <si>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</si>
  <si>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</si>
  <si>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</si>
  <si>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</si>
  <si>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</si>
  <si>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</si>
  <si>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</si>
  <si>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</si>
  <si>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</si>
  <si>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</si>
  <si>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</si>
  <si>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</si>
  <si>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</si>
  <si>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</si>
  <si>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</si>
  <si>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</si>
  <si>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</si>
  <si>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</si>
  <si>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</si>
  <si>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</si>
  <si>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</si>
  <si>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</si>
  <si>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</si>
  <si>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</si>
  <si>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</si>
  <si>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</si>
  <si>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</si>
  <si>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</si>
  <si>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</si>
  <si>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</si>
  <si>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</si>
  <si>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</si>
  <si>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</si>
  <si>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</si>
  <si>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</si>
  <si>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</si>
  <si>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</si>
  <si>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</si>
  <si>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</si>
  <si>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</si>
  <si>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</si>
  <si>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</si>
  <si>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</si>
  <si>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</si>
  <si>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</si>
  <si>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</si>
  <si>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</si>
  <si>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</si>
  <si>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</si>
  <si>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</si>
  <si>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</si>
  <si>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</si>
  <si>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</si>
  <si>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</si>
  <si>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</si>
  <si>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</si>
  <si>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</si>
  <si>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</si>
  <si>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</si>
  <si>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</si>
  <si>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</si>
  <si>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</si>
  <si>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</si>
  <si>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</si>
  <si>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</si>
  <si>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</si>
  <si>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</si>
  <si>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</si>
  <si>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</si>
  <si>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</si>
  <si>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</si>
  <si>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</si>
  <si>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</si>
  <si>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</si>
  <si>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</si>
  <si>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</si>
  <si>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</si>
  <si>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</si>
  <si>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</si>
  <si>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</si>
  <si>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</si>
  <si>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</si>
  <si>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</si>
  <si>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</si>
  <si>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</si>
  <si>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</si>
  <si>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</si>
  <si>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</si>
  <si>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</si>
  <si>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</si>
  <si>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</si>
  <si>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</si>
  <si>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</si>
  <si>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</si>
  <si>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</si>
  <si>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</si>
  <si>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</si>
  <si>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</si>
  <si>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</si>
  <si>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</si>
  <si>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</si>
  <si>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</si>
  <si>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</si>
  <si>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</si>
  <si>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</si>
  <si>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</si>
  <si>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</si>
  <si>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</si>
  <si>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</si>
  <si>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</si>
  <si>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</si>
  <si>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</si>
  <si>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</si>
  <si>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</si>
  <si>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</si>
  <si>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</si>
  <si>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</si>
  <si>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</si>
  <si>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</si>
  <si>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</si>
  <si>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</si>
  <si>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</si>
  <si>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</si>
  <si>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</si>
  <si>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</si>
  <si>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</si>
  <si>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</si>
  <si>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</si>
  <si>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</si>
  <si>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</si>
  <si>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</si>
  <si>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</si>
  <si>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</si>
  <si>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</si>
  <si>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</si>
  <si>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</si>
  <si>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</si>
  <si>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</si>
  <si>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</si>
  <si>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</si>
  <si>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</si>
  <si>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</si>
  <si>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</si>
  <si>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</si>
  <si>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</si>
  <si>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</si>
  <si>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</si>
  <si>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</si>
  <si>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</si>
  <si>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</si>
  <si>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</si>
  <si>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</si>
  <si>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</si>
  <si>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</si>
  <si>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</si>
  <si>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</si>
  <si>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</si>
  <si>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</si>
  <si>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</si>
  <si>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</si>
  <si>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</si>
  <si>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</si>
  <si>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</si>
  <si>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</si>
  <si>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</si>
  <si>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</si>
  <si>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</si>
  <si>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</si>
  <si>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</si>
  <si>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</si>
  <si>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</si>
  <si>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</si>
  <si>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</si>
  <si>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</si>
  <si>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</si>
  <si>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</si>
  <si>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</si>
  <si>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</si>
  <si>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</si>
  <si>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</si>
  <si>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</si>
  <si>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</si>
  <si>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</si>
  <si>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</si>
  <si>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</si>
  <si>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</si>
  <si>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</si>
  <si>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</si>
  <si>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</si>
  <si>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</si>
  <si>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</si>
  <si>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</si>
  <si>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</si>
  <si>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</si>
  <si>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</si>
  <si>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</si>
  <si>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</si>
  <si>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</si>
  <si>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</si>
  <si>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</si>
  <si>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</si>
  <si>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</si>
  <si>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</si>
  <si>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</si>
  <si>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</si>
  <si>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</si>
  <si>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</si>
  <si>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</si>
  <si>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</si>
  <si>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</si>
  <si>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</si>
  <si>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</si>
  <si>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</si>
  <si>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</si>
  <si>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</si>
  <si>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</si>
  <si>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</si>
  <si>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</si>
  <si>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</si>
  <si>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</si>
  <si>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</si>
  <si>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</si>
  <si>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</si>
  <si>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</si>
  <si>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</si>
  <si>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</si>
  <si>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</si>
  <si>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</si>
  <si>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</si>
  <si>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</si>
  <si>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</si>
  <si>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</si>
  <si>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</si>
  <si>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</si>
  <si>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</si>
  <si>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</si>
  <si>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</si>
  <si>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</si>
  <si>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</si>
  <si>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</si>
  <si>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</si>
  <si>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</si>
  <si>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</si>
  <si>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</si>
  <si>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</si>
  <si>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</si>
  <si>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</si>
  <si>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</si>
  <si>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</si>
  <si>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</si>
  <si>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</si>
  <si>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</si>
  <si>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</si>
  <si>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</si>
  <si>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</si>
  <si>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</si>
  <si>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</si>
  <si>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</si>
  <si>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</si>
  <si>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</si>
  <si>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</si>
  <si>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</si>
  <si>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</si>
  <si>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</si>
  <si>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</si>
  <si>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</si>
  <si>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</si>
  <si>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</si>
  <si>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</si>
  <si>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</si>
  <si>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</si>
  <si>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</si>
  <si>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</si>
  <si>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</si>
  <si>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</si>
  <si>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</si>
  <si>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</si>
  <si>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</si>
  <si>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</si>
  <si>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</si>
  <si>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</si>
  <si>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</si>
  <si>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</si>
  <si>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</si>
  <si>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</si>
  <si>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</si>
  <si>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</si>
  <si>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</si>
  <si>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</si>
  <si>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</si>
  <si>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</si>
  <si>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</si>
  <si>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</si>
  <si>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</si>
  <si>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</si>
  <si>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</si>
  <si>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</si>
  <si>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</si>
  <si>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</si>
  <si>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</si>
  <si>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</si>
  <si>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</si>
  <si>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</si>
  <si>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</si>
  <si>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</si>
  <si>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</si>
  <si>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</si>
  <si>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</si>
  <si>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</si>
  <si>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</si>
  <si>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</si>
  <si>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</si>
  <si>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</si>
  <si>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</si>
  <si>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</si>
  <si>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</si>
  <si>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</si>
  <si>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</si>
  <si>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</si>
  <si>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</si>
  <si>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</si>
  <si>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</si>
  <si>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</si>
  <si>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</si>
  <si>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</si>
  <si>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</si>
  <si>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</si>
  <si>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</si>
  <si>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</si>
  <si>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</si>
  <si>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</si>
  <si>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</si>
  <si>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</si>
  <si>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</si>
  <si>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</si>
  <si>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</si>
  <si>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</si>
  <si>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</si>
  <si>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</si>
  <si>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</si>
  <si>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</si>
  <si>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</si>
  <si>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</si>
  <si>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</si>
  <si>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</si>
  <si>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</si>
  <si>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</si>
  <si>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</si>
  <si>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</si>
  <si>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</si>
  <si>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</si>
  <si>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</si>
  <si>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</si>
  <si>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</si>
  <si>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</si>
  <si>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</si>
  <si>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</si>
  <si>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</si>
  <si>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</si>
  <si>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</si>
  <si>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</si>
  <si>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</si>
  <si>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</si>
  <si>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</si>
  <si>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</si>
  <si>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</si>
  <si>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</si>
  <si>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</si>
  <si>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</si>
  <si>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</si>
  <si>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</si>
  <si>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</si>
  <si>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</si>
  <si>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</si>
  <si>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</si>
  <si>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</si>
  <si>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</si>
  <si>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</si>
  <si>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</si>
  <si>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</si>
  <si>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</si>
  <si>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</si>
  <si>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</si>
  <si>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</si>
  <si>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</si>
  <si>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</si>
  <si>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</si>
  <si>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</si>
  <si>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</si>
  <si>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</si>
  <si>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</si>
  <si>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</si>
  <si>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</si>
  <si>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</si>
  <si>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</si>
  <si>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</si>
  <si>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</si>
  <si>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</si>
  <si>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</si>
  <si>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</si>
  <si>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</si>
  <si>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</si>
  <si>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</si>
  <si>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</si>
  <si>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</si>
  <si>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</si>
  <si>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</si>
  <si>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</si>
  <si>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</si>
  <si>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</si>
  <si>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</si>
  <si>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</si>
  <si>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</si>
  <si>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</si>
  <si>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</si>
  <si>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</si>
  <si>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</si>
  <si>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</si>
  <si>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</si>
  <si>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</si>
  <si>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</si>
  <si>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</si>
  <si>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</si>
  <si>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</si>
  <si>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</si>
  <si>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</si>
  <si>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</si>
  <si>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</si>
  <si>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</si>
  <si>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</si>
  <si>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</si>
  <si>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</si>
  <si>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</si>
  <si>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</si>
  <si>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</si>
  <si>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</si>
  <si>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</si>
  <si>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</si>
  <si>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</si>
  <si>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</si>
  <si>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</si>
  <si>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</si>
  <si>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</si>
  <si>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</si>
  <si>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</si>
  <si>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</si>
  <si>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</si>
  <si>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</si>
  <si>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</si>
  <si>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</si>
  <si>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</si>
  <si>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</si>
  <si>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</si>
  <si>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</si>
  <si>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</si>
  <si>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</si>
  <si>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</si>
  <si>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</si>
  <si>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</si>
  <si>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</si>
  <si>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</si>
  <si>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</si>
  <si>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</si>
  <si>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</si>
  <si>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</si>
  <si>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</si>
  <si>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</si>
  <si>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</si>
  <si>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</si>
  <si>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</si>
  <si>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</si>
  <si>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</si>
  <si>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</si>
  <si>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</si>
  <si>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</si>
  <si>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</si>
  <si>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</si>
  <si>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</si>
  <si>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</si>
  <si>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</si>
  <si>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</si>
  <si>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</si>
  <si>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</si>
  <si>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</si>
  <si>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</si>
  <si>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</si>
  <si>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</si>
  <si>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</si>
  <si>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</si>
  <si>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</si>
  <si>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</si>
  <si>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</si>
  <si>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</si>
  <si>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</si>
  <si>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</si>
  <si>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</si>
  <si>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</si>
  <si>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</si>
  <si>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</si>
  <si>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</si>
  <si>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</si>
  <si>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</si>
  <si>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</si>
  <si>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</si>
  <si>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</si>
  <si>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</si>
  <si>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</si>
  <si>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</si>
  <si>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</si>
  <si>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</si>
  <si>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</si>
  <si>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</si>
  <si>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</si>
  <si>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</si>
  <si>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</si>
  <si>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</si>
  <si>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</si>
  <si>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</si>
  <si>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</si>
  <si>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</si>
  <si>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</si>
  <si>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</si>
  <si>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</si>
  <si>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</si>
  <si>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</si>
  <si>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</si>
  <si>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</si>
  <si>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</si>
  <si>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</si>
  <si>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</si>
  <si>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</si>
  <si>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</si>
  <si>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</si>
  <si>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</si>
  <si>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</si>
  <si>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</si>
  <si>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</si>
  <si>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</si>
  <si>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</si>
  <si>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</si>
  <si>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</si>
  <si>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</si>
  <si>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</si>
  <si>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</si>
  <si>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</si>
  <si>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</si>
  <si>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</si>
  <si>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</si>
  <si>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</si>
  <si>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</si>
  <si>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</si>
  <si>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</si>
  <si>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</si>
  <si>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</si>
  <si>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</si>
  <si>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</si>
  <si>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</si>
  <si>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</si>
  <si>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</si>
  <si>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</si>
  <si>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</si>
  <si>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</si>
  <si>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</si>
  <si>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</si>
  <si>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</si>
  <si>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</si>
  <si>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</si>
  <si>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</si>
  <si>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</si>
  <si>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</si>
  <si>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</si>
  <si>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</si>
  <si>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</si>
  <si>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</si>
  <si>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</si>
  <si>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</si>
  <si>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</si>
  <si>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</si>
  <si>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</si>
  <si>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</si>
  <si>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</si>
  <si>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</si>
  <si>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</si>
  <si>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</si>
  <si>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</si>
  <si>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</si>
  <si>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</si>
  <si>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</si>
  <si>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</si>
  <si>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</si>
  <si>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</si>
  <si>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</si>
  <si>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</si>
  <si>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</si>
  <si>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</si>
  <si>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</si>
  <si>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</si>
  <si>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</si>
  <si>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</si>
  <si>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</si>
  <si>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</si>
  <si>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</si>
  <si>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</si>
  <si>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</si>
  <si>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</si>
  <si>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</si>
  <si>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</si>
  <si>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</si>
  <si>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</si>
  <si>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</si>
  <si>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</si>
  <si>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</si>
  <si>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</si>
  <si>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</si>
  <si>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</si>
  <si>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</si>
  <si>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</si>
  <si>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</si>
  <si>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</si>
  <si>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</si>
  <si>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</si>
  <si>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</si>
  <si>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</si>
  <si>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</si>
  <si>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</si>
  <si>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</si>
  <si>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</si>
  <si>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</si>
  <si>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</si>
  <si>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</si>
  <si>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</si>
  <si>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</si>
  <si>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</si>
  <si>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</si>
  <si>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</si>
  <si>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</si>
  <si>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</si>
  <si>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</si>
  <si>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</si>
  <si>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</si>
  <si>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</si>
  <si>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</si>
  <si>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</si>
  <si>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</si>
  <si>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</si>
  <si>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</si>
  <si>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</si>
  <si>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</si>
  <si>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</si>
  <si>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</si>
  <si>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</si>
  <si>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</si>
  <si>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</si>
  <si>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</si>
  <si>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</si>
  <si>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</si>
  <si>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</si>
  <si>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</si>
  <si>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</si>
  <si>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</si>
  <si>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</si>
  <si>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</si>
  <si>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</si>
  <si>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</si>
  <si>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</si>
  <si>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</si>
  <si>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</si>
  <si>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</si>
  <si>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</si>
  <si>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</si>
  <si>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</si>
  <si>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</si>
  <si>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</si>
  <si>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</si>
  <si>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</si>
  <si>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</si>
  <si>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</si>
  <si>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</si>
  <si>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</si>
  <si>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</si>
  <si>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</si>
  <si>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</si>
  <si>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</si>
  <si>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</si>
  <si>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</si>
  <si>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</si>
  <si>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</si>
  <si>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</si>
  <si>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</si>
  <si>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</si>
  <si>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</si>
  <si>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</si>
  <si>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</si>
  <si>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</si>
  <si>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</si>
  <si>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</si>
  <si>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</si>
  <si>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</si>
  <si>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</si>
  <si>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</si>
  <si>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</si>
  <si>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</si>
  <si>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</si>
  <si>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</si>
  <si>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</si>
  <si>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</si>
  <si>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</si>
  <si>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</si>
  <si>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</si>
  <si>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</si>
  <si>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</si>
  <si>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</si>
  <si>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</si>
  <si>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</si>
  <si>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</si>
  <si>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</si>
  <si>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</si>
  <si>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</si>
  <si>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</si>
  <si>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</si>
  <si>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</si>
  <si>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</si>
  <si>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</si>
  <si>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</si>
  <si>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</si>
  <si>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</si>
  <si>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</si>
  <si>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</si>
  <si>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</si>
  <si>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</si>
  <si>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</si>
  <si>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</si>
  <si>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</si>
  <si>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</si>
  <si>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</si>
  <si>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</si>
  <si>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</si>
  <si>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</si>
  <si>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</si>
  <si>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</si>
  <si>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</si>
  <si>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</si>
  <si>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</si>
  <si>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</si>
  <si>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</si>
  <si>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</si>
  <si>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</si>
  <si>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</si>
  <si>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</si>
  <si>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</si>
  <si>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</si>
  <si>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</si>
  <si>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</si>
  <si>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</si>
  <si>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</si>
  <si>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</si>
  <si>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</si>
  <si>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</si>
  <si>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</si>
  <si>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</si>
  <si>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</si>
  <si>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</si>
  <si>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</si>
  <si>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</si>
  <si>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</si>
  <si>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</si>
  <si>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</si>
  <si>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</si>
  <si>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</si>
  <si>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</si>
  <si>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</si>
  <si>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</si>
  <si>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</si>
  <si>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</si>
  <si>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</si>
  <si>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</si>
  <si>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</si>
  <si>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</si>
  <si>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</si>
  <si>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</si>
  <si>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</si>
  <si>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</si>
  <si>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</si>
  <si>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</si>
  <si>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</si>
  <si>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</si>
  <si>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</si>
  <si>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</si>
  <si>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</si>
  <si>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</si>
  <si>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</si>
  <si>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</si>
  <si>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</si>
  <si>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</si>
  <si>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</si>
  <si>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</si>
  <si>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</si>
  <si>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</si>
  <si>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</si>
  <si>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</si>
  <si>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</si>
  <si>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</si>
  <si>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</si>
  <si>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</si>
  <si>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</si>
  <si>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</si>
  <si>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</si>
  <si>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</si>
  <si>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</si>
  <si>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</si>
  <si>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</si>
  <si>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</si>
  <si>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</si>
  <si>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</si>
  <si>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</si>
  <si>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</si>
  <si>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</si>
  <si>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</si>
  <si>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</si>
  <si>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</si>
  <si>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</si>
  <si>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</si>
  <si>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</si>
  <si>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</si>
  <si>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</si>
  <si>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</si>
  <si>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</si>
  <si>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</si>
  <si>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</si>
  <si>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</si>
  <si>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</si>
  <si>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</si>
  <si>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</si>
  <si>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</si>
  <si>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</si>
  <si>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</si>
  <si>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</si>
  <si>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</si>
  <si>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</si>
  <si>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</si>
  <si>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</si>
  <si>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</si>
  <si>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</si>
  <si>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</si>
  <si>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</si>
  <si>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</si>
  <si>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</si>
  <si>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</si>
  <si>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</si>
  <si>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</si>
  <si>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</si>
  <si>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</si>
  <si>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</si>
  <si>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</si>
  <si>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</si>
  <si>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</si>
  <si>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</si>
  <si>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</si>
  <si>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</si>
  <si>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</si>
  <si>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</si>
  <si>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</si>
  <si>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</si>
  <si>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</si>
  <si>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</si>
  <si>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</si>
  <si>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</si>
  <si>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</si>
  <si>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</si>
  <si>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</si>
  <si>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</si>
  <si>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</si>
  <si>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</si>
  <si>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</si>
  <si>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</si>
  <si>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</si>
  <si>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</si>
  <si>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</si>
  <si>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</si>
  <si>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</si>
  <si>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</si>
  <si>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</si>
  <si>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</si>
  <si>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</si>
  <si>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</si>
  <si>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</si>
  <si>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</si>
  <si>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</si>
  <si>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</si>
  <si>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</si>
  <si>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</si>
  <si>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</si>
  <si>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</si>
  <si>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</si>
  <si>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</si>
  <si>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</si>
  <si>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</si>
  <si>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</si>
  <si>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</si>
  <si>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</si>
  <si>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</si>
  <si>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</si>
  <si>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</si>
  <si>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</si>
  <si>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</si>
  <si>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</si>
  <si>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</si>
  <si>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</si>
  <si>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</si>
  <si>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</si>
  <si>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</si>
  <si>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</si>
  <si>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</si>
  <si>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</si>
  <si>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</si>
  <si>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</si>
  <si>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</si>
  <si>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</si>
  <si>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</si>
  <si>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</si>
  <si>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</si>
  <si>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</si>
  <si>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</si>
  <si>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</si>
  <si>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</si>
  <si>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</si>
  <si>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</si>
  <si>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</si>
  <si>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</si>
  <si>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</si>
  <si>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</si>
  <si>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</si>
  <si>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</si>
  <si>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</si>
  <si>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</si>
  <si>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</si>
  <si>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</si>
  <si>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</si>
  <si>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</si>
  <si>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</si>
  <si>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</si>
  <si>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</si>
  <si>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</si>
  <si>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</si>
  <si>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</si>
  <si>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</si>
  <si>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</si>
  <si>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</si>
  <si>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</si>
  <si>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</si>
  <si>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</si>
  <si>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</si>
  <si>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</si>
  <si>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</si>
  <si>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</si>
  <si>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</si>
  <si>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</si>
  <si>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</si>
  <si>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</si>
  <si>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</si>
  <si>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</si>
  <si>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</si>
  <si>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</si>
  <si>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</si>
  <si>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</si>
  <si>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</si>
  <si>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</si>
  <si>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</si>
  <si>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</si>
  <si>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</si>
  <si>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</si>
  <si>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</si>
  <si>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</si>
  <si>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</si>
  <si>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</si>
  <si>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</si>
  <si>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</si>
  <si>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</si>
  <si>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</si>
  <si>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</si>
  <si>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</si>
  <si>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</si>
  <si>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</si>
  <si>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</si>
  <si>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</si>
  <si>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</si>
  <si>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</si>
  <si>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</si>
  <si>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</si>
  <si>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</si>
  <si>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</si>
  <si>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</si>
  <si>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</si>
  <si>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</si>
  <si>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</si>
  <si>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</si>
  <si>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</si>
  <si>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</si>
  <si>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</si>
  <si>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</si>
  <si>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</si>
  <si>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</si>
  <si>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</si>
  <si>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</si>
  <si>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</si>
  <si>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</si>
  <si>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</si>
  <si>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</si>
  <si>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</si>
  <si>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</si>
  <si>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</si>
  <si>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</si>
  <si>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</si>
  <si>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</si>
  <si>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</si>
  <si>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</si>
  <si>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</si>
  <si>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</si>
  <si>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</si>
  <si>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</si>
  <si>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</si>
  <si>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</si>
  <si>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</si>
  <si>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</si>
  <si>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</si>
  <si>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</si>
  <si>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</si>
  <si>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</si>
  <si>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</si>
  <si>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</si>
  <si>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</si>
  <si>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</si>
  <si>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</si>
  <si>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</si>
  <si>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</si>
  <si>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</si>
  <si>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</si>
  <si>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</si>
  <si>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</si>
  <si>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</si>
  <si>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</si>
  <si>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</si>
  <si>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</si>
  <si>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</si>
  <si>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</si>
  <si>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</si>
  <si>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</si>
  <si>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</si>
  <si>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</si>
  <si>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</si>
  <si>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</si>
  <si>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</si>
  <si>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</si>
  <si>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</si>
  <si>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</si>
  <si>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</si>
  <si>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</si>
  <si>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</si>
  <si>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</si>
  <si>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</si>
  <si>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</si>
  <si>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</si>
  <si>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</si>
  <si>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</si>
  <si>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</si>
  <si>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</si>
  <si>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</si>
  <si>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</si>
  <si>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</si>
  <si>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</si>
  <si>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</si>
  <si>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</si>
  <si>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</si>
  <si>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</si>
  <si>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</si>
  <si>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</si>
  <si>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</si>
  <si>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</si>
  <si>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</si>
  <si>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</si>
  <si>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</si>
  <si>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</si>
  <si>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</si>
  <si>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</si>
  <si>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</si>
  <si>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</si>
  <si>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</si>
  <si>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</si>
  <si>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</si>
  <si>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</si>
  <si>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</si>
  <si>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</si>
  <si>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</si>
  <si>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</si>
  <si>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</si>
  <si>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</si>
  <si>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</si>
  <si>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</si>
  <si>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</si>
  <si>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</si>
  <si>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</si>
  <si>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</si>
  <si>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</si>
  <si>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</si>
  <si>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</si>
  <si>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</si>
  <si>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</si>
  <si>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</si>
  <si>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</si>
  <si>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</si>
  <si>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</si>
  <si>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</si>
  <si>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</si>
  <si>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</si>
  <si>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</si>
  <si>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</si>
  <si>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</si>
  <si>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</si>
  <si>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</si>
  <si>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</si>
  <si>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</si>
  <si>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</si>
  <si>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</si>
  <si>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</si>
  <si>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</si>
  <si>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</si>
  <si>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</si>
  <si>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</si>
  <si>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</si>
  <si>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</si>
  <si>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</si>
  <si>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</si>
  <si>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</si>
  <si>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</si>
  <si>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</si>
  <si>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</si>
  <si>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</si>
  <si>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</si>
  <si>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</si>
  <si>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</si>
  <si>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</si>
  <si>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</si>
  <si>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</si>
  <si>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</si>
  <si>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</si>
  <si>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</si>
  <si>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</si>
  <si>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</si>
  <si>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</si>
  <si>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</si>
  <si>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</si>
  <si>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</si>
  <si>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</si>
  <si>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</si>
  <si>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</si>
  <si>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</si>
  <si>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</si>
  <si>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</si>
  <si>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</si>
  <si>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</si>
  <si>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</si>
  <si>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</si>
  <si>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</si>
  <si>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</si>
  <si>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</si>
  <si>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</si>
  <si>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</si>
  <si>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</si>
  <si>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</si>
  <si>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</si>
  <si>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</si>
  <si>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</si>
  <si>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</si>
  <si>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</si>
  <si>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</si>
  <si>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</si>
  <si>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</si>
  <si>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</si>
  <si>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</si>
  <si>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</si>
  <si>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</si>
  <si>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</si>
  <si>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</si>
  <si>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</si>
  <si>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</si>
  <si>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</si>
  <si>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</si>
  <si>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</si>
  <si>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</si>
  <si>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</si>
  <si>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</si>
  <si>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</si>
  <si>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</si>
  <si>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</si>
  <si>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</si>
  <si>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</si>
  <si>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</si>
  <si>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</si>
  <si>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</si>
  <si>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</si>
  <si>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</si>
  <si>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</si>
  <si>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</si>
  <si>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</si>
  <si>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</si>
  <si>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</si>
  <si>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</si>
  <si>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</si>
  <si>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</si>
  <si>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</si>
  <si>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</si>
  <si>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</si>
  <si>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</si>
  <si>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</si>
  <si>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</si>
  <si>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</si>
  <si>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</si>
  <si>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</si>
  <si>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</si>
  <si>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</si>
  <si>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</si>
  <si>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</si>
  <si>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</si>
  <si>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</si>
  <si>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</si>
  <si>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</si>
  <si>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</si>
  <si>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</si>
  <si>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</si>
  <si>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</si>
  <si>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</si>
  <si>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</si>
  <si>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</si>
  <si>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</si>
  <si>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</si>
  <si>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</si>
  <si>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</si>
  <si>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</si>
  <si>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</si>
  <si>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</si>
  <si>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</si>
  <si>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</si>
  <si>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</si>
  <si>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</si>
  <si>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</si>
  <si>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</si>
  <si>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</si>
  <si>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</si>
  <si>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</si>
  <si>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</si>
  <si>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</si>
  <si>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</si>
  <si>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</si>
  <si>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</si>
  <si>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</si>
  <si>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</si>
  <si>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</si>
  <si>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</si>
  <si>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</si>
  <si>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</si>
  <si>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</si>
  <si>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</si>
  <si>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</si>
  <si>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</si>
  <si>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</si>
  <si>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</si>
  <si>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</si>
  <si>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</si>
  <si>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</si>
  <si>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</si>
  <si>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</si>
  <si>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</si>
  <si>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</si>
  <si>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</si>
  <si>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</si>
  <si>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</si>
  <si>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</si>
  <si>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</si>
  <si>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</si>
  <si>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</si>
  <si>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</si>
  <si>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</si>
  <si>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</si>
  <si>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</si>
  <si>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</si>
  <si>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</si>
  <si>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</si>
  <si>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</si>
  <si>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</si>
  <si>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</si>
  <si>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</si>
  <si>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</si>
  <si>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</si>
  <si>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</si>
  <si>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</si>
  <si>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</si>
  <si>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</si>
  <si>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</si>
  <si>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</si>
  <si>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</si>
  <si>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</si>
  <si>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</si>
  <si>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</si>
  <si>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</si>
  <si>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</si>
  <si>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</si>
  <si>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</si>
  <si>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</si>
  <si>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</si>
  <si>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</si>
  <si>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</si>
  <si>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</si>
  <si>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</si>
  <si>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</si>
  <si>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</si>
  <si>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</si>
  <si>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</si>
  <si>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</si>
  <si>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</si>
  <si>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</si>
  <si>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</si>
  <si>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</si>
  <si>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</si>
  <si>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</si>
  <si>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</si>
  <si>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</si>
  <si>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</si>
  <si>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</si>
  <si>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</si>
  <si>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</si>
  <si>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</si>
  <si>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</si>
  <si>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</si>
  <si>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</si>
  <si>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</si>
  <si>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</si>
  <si>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</si>
  <si>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</si>
  <si>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</si>
  <si>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</si>
  <si>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</si>
  <si>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</si>
  <si>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</si>
  <si>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</si>
  <si>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</si>
  <si>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</si>
  <si>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</si>
  <si>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</si>
  <si>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</si>
  <si>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</si>
  <si>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</si>
  <si>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</si>
  <si>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</si>
  <si>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</si>
  <si>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</si>
  <si>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</si>
  <si>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</si>
  <si>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</si>
  <si>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</si>
  <si>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</si>
  <si>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</si>
  <si>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</si>
  <si>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</si>
  <si>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</si>
  <si>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</si>
  <si>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</si>
  <si>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</si>
  <si>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</si>
  <si>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</si>
  <si>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</si>
  <si>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</si>
  <si>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</si>
  <si>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</si>
  <si>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</si>
  <si>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</si>
  <si>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</si>
  <si>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</si>
  <si>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</si>
  <si>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</si>
  <si>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</si>
  <si>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</si>
  <si>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</si>
  <si>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</si>
  <si>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</si>
  <si>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</si>
  <si>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</si>
  <si>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</si>
  <si>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</si>
  <si>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</si>
  <si>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</si>
  <si>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</si>
  <si>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</si>
  <si>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</si>
  <si>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</si>
  <si>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</si>
  <si>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</si>
  <si>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</si>
  <si>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</si>
  <si>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</si>
  <si>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</si>
  <si>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</si>
  <si>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</si>
  <si>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</si>
  <si>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</si>
  <si>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</si>
  <si>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</si>
  <si>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</si>
  <si>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</si>
  <si>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</si>
  <si>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</si>
  <si>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</si>
  <si>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</si>
  <si>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</si>
  <si>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</si>
  <si>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</si>
  <si>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</si>
  <si>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</si>
  <si>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</si>
  <si>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</si>
  <si>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</si>
  <si>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</si>
  <si>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</si>
  <si>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</si>
  <si>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</si>
  <si>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</si>
  <si>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</si>
  <si>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</si>
  <si>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</si>
  <si>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</si>
  <si>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</si>
  <si>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</si>
  <si>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</si>
  <si>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</si>
  <si>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</si>
  <si>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</si>
  <si>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</si>
  <si>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</si>
  <si>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</si>
  <si>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</si>
  <si>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</si>
  <si>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</si>
  <si>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</si>
  <si>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</si>
  <si>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</si>
  <si>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</si>
  <si>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</si>
  <si>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</si>
  <si>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</si>
  <si>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</si>
  <si>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</si>
  <si>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</si>
  <si>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</si>
  <si>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</si>
  <si>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</si>
  <si>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</si>
  <si>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</si>
  <si>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</si>
  <si>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</si>
  <si>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</si>
  <si>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</si>
  <si>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</si>
  <si>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</si>
  <si>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</si>
  <si>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</si>
  <si>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</si>
  <si>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</si>
  <si>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</si>
  <si>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</si>
  <si>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</si>
  <si>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</si>
  <si>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</si>
  <si>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</si>
  <si>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</si>
  <si>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</si>
  <si>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</si>
  <si>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</si>
  <si>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</si>
  <si>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</si>
  <si>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</si>
  <si>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</si>
  <si>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</si>
  <si>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</si>
  <si>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</si>
  <si>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</si>
  <si>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</si>
  <si>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</si>
  <si>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</si>
  <si>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</si>
  <si>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</si>
  <si>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</si>
  <si>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</si>
  <si>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</si>
  <si>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</si>
  <si>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</si>
  <si>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</si>
  <si>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</si>
  <si>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</si>
  <si>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</si>
  <si>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</si>
  <si>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</si>
  <si>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</si>
  <si>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</si>
  <si>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</si>
  <si>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</si>
  <si>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</si>
  <si>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</si>
  <si>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</si>
  <si>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</si>
  <si>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</si>
  <si>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</si>
  <si>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</si>
  <si>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</si>
  <si>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</si>
  <si>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</si>
  <si>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</si>
  <si>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</si>
  <si>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</si>
  <si>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</si>
  <si>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</si>
  <si>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</si>
  <si>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</si>
  <si>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</si>
  <si>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</si>
  <si>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</si>
  <si>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</si>
  <si>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</si>
  <si>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</si>
  <si>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</si>
  <si>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</si>
  <si>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</si>
  <si>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</si>
  <si>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</si>
  <si>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</si>
  <si>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</si>
  <si>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</si>
  <si>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</si>
  <si>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</si>
  <si>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</si>
  <si>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</si>
  <si>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</si>
  <si>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</si>
  <si>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</si>
  <si>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</si>
  <si>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</si>
  <si>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</si>
  <si>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</si>
  <si>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</si>
  <si>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</si>
  <si>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</si>
  <si>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</si>
  <si>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</si>
  <si>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</si>
  <si>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</si>
  <si>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</si>
  <si>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</si>
  <si>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</si>
  <si>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</si>
  <si>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</si>
  <si>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</si>
  <si>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</si>
  <si>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</si>
  <si>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</si>
  <si>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</si>
  <si>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</si>
  <si>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</si>
  <si>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</si>
  <si>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</si>
  <si>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</si>
  <si>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</si>
  <si>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</si>
  <si>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</si>
  <si>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</si>
  <si>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</si>
  <si>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</si>
  <si>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</si>
  <si>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</si>
  <si>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</si>
  <si>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</si>
  <si>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</si>
  <si>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</si>
  <si>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</si>
  <si>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</si>
  <si>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</si>
  <si>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</si>
  <si>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</si>
  <si>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</si>
  <si>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</si>
  <si>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</si>
  <si>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</si>
  <si>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</si>
  <si>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</si>
  <si>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</si>
  <si>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</si>
  <si>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</si>
  <si>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</si>
  <si>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</si>
  <si>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</si>
  <si>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</si>
  <si>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</si>
  <si>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</si>
  <si>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</si>
  <si>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</si>
  <si>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</si>
  <si>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</si>
  <si>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</si>
  <si>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</si>
  <si>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</si>
  <si>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</si>
  <si>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</si>
  <si>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</si>
  <si>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</si>
  <si>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</si>
  <si>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</si>
  <si>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</si>
  <si>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</si>
  <si>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</si>
  <si>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</si>
  <si>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</si>
  <si>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</si>
  <si>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</si>
  <si>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</si>
  <si>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</si>
  <si>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</si>
  <si>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</si>
  <si>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</si>
  <si>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</si>
  <si>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</si>
  <si>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</si>
  <si>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</si>
  <si>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</si>
  <si>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</si>
  <si>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</si>
  <si>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</si>
  <si>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</si>
  <si>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</si>
  <si>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</si>
  <si>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</si>
  <si>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</si>
  <si>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</si>
  <si>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</si>
  <si>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</si>
  <si>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</si>
  <si>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</si>
  <si>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</si>
  <si>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</si>
  <si>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</si>
  <si>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</si>
  <si>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</si>
  <si>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</si>
  <si>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</si>
  <si>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</si>
  <si>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</si>
  <si>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</si>
  <si>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</si>
  <si>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</si>
  <si>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</si>
  <si>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</si>
  <si>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</si>
  <si>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</si>
  <si>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</si>
  <si>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</si>
  <si>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</si>
  <si>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</si>
  <si>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</si>
  <si>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</si>
  <si>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</si>
  <si>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</si>
  <si>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</si>
  <si>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</si>
  <si>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</si>
  <si>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</si>
  <si>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</si>
  <si>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</si>
  <si>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</si>
  <si>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</si>
  <si>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</si>
  <si>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</si>
  <si>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</si>
  <si>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</si>
  <si>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</si>
  <si>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</si>
  <si>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</si>
  <si>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</si>
  <si>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</si>
  <si>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</si>
  <si>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</si>
  <si>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</si>
  <si>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</si>
  <si>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</si>
  <si>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</si>
  <si>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</si>
  <si>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</si>
  <si>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</si>
  <si>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</si>
  <si>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</si>
  <si>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</si>
  <si>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</si>
  <si>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</si>
  <si>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</si>
  <si>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</si>
  <si>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</si>
  <si>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</si>
  <si>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</si>
  <si>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</si>
  <si>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</si>
  <si>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</si>
  <si>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</si>
  <si>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</si>
  <si>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</si>
  <si>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</si>
  <si>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</si>
  <si>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</si>
  <si>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</si>
  <si>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</si>
  <si>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</si>
  <si>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</si>
  <si>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</si>
  <si>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</si>
  <si>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</si>
  <si>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</si>
  <si>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</si>
  <si>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</si>
  <si>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</si>
  <si>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</si>
  <si>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</si>
  <si>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</si>
  <si>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</si>
  <si>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</si>
  <si>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</si>
  <si>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</si>
  <si>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</si>
  <si>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</si>
  <si>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</si>
  <si>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</si>
  <si>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</si>
  <si>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</si>
  <si>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</si>
  <si>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</si>
  <si>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</si>
  <si>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</si>
  <si>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</si>
  <si>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</si>
  <si>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</si>
  <si>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</si>
  <si>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</si>
  <si>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</si>
  <si>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</si>
  <si>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</si>
  <si>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</si>
  <si>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</si>
  <si>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</si>
  <si>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</si>
  <si>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</si>
  <si>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</si>
  <si>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</si>
  <si>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</si>
  <si>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</si>
  <si>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</si>
  <si>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</si>
  <si>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</si>
  <si>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</si>
  <si>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</si>
  <si>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</si>
  <si>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</si>
  <si>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</si>
  <si>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</si>
  <si>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</si>
  <si>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</si>
  <si>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</si>
  <si>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</si>
  <si>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</si>
  <si>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</si>
  <si>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</si>
  <si>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</si>
  <si>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</si>
  <si>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</si>
  <si>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</si>
  <si>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</si>
  <si>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</si>
  <si>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</si>
  <si>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</si>
  <si>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</si>
  <si>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</si>
  <si>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</si>
  <si>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</si>
  <si>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</si>
  <si>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</si>
  <si>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</si>
  <si>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</si>
  <si>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</si>
  <si>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</si>
  <si>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</si>
  <si>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</si>
  <si>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</si>
  <si>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</si>
  <si>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</si>
  <si>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</si>
  <si>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</si>
  <si>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</si>
  <si>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</si>
  <si>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</si>
  <si>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</si>
  <si>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</si>
  <si>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</si>
  <si>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</si>
  <si>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</si>
  <si>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</si>
  <si>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</si>
  <si>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</si>
  <si>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</si>
  <si>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</si>
  <si>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</si>
  <si>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</si>
  <si>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</si>
  <si>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</si>
  <si>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</si>
  <si>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</si>
  <si>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</si>
  <si>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</si>
  <si>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</si>
  <si>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</si>
  <si>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</si>
  <si>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</si>
  <si>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</si>
  <si>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</si>
  <si>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</si>
  <si>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</si>
  <si>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</si>
  <si>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</si>
  <si>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</si>
  <si>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</si>
  <si>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</si>
  <si>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</si>
  <si>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</si>
  <si>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</si>
  <si>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</si>
  <si>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</si>
  <si>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</si>
  <si>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</si>
  <si>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</si>
  <si>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</si>
  <si>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</si>
  <si>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</si>
  <si>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</si>
  <si>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</si>
  <si>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</si>
  <si>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</si>
  <si>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</si>
  <si>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</si>
  <si>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</si>
  <si>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</si>
  <si>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</si>
  <si>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</si>
  <si>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</si>
  <si>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</si>
  <si>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</si>
  <si>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</si>
  <si>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</si>
  <si>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</si>
  <si>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</si>
  <si>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</si>
  <si>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</si>
  <si>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</si>
  <si>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</si>
  <si>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</si>
  <si>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</si>
  <si>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</si>
  <si>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</si>
  <si>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</si>
  <si>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</si>
  <si>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</si>
  <si>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</si>
  <si>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</si>
  <si>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</si>
  <si>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</si>
  <si>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</si>
  <si>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</si>
  <si>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</si>
  <si>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</si>
  <si>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</si>
  <si>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</si>
  <si>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</si>
  <si>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</si>
  <si>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</si>
  <si>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</si>
  <si>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</si>
  <si>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</si>
  <si>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</si>
  <si>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</si>
  <si>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</si>
  <si>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</si>
  <si>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</si>
  <si>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</si>
  <si>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</si>
  <si>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</si>
  <si>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</si>
  <si>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</si>
  <si>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</si>
  <si>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</si>
  <si>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</si>
  <si>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</si>
  <si>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</si>
  <si>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</si>
  <si>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</si>
  <si>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</si>
  <si>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</si>
  <si>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</si>
  <si>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</si>
  <si>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</si>
  <si>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</si>
  <si>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</si>
  <si>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</si>
  <si>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</si>
  <si>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</si>
  <si>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</si>
  <si>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</si>
  <si>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</si>
  <si>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</si>
  <si>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</si>
  <si>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</si>
  <si>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</si>
  <si>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</si>
  <si>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</si>
  <si>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</si>
  <si>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</si>
  <si>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</si>
  <si>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</si>
  <si>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</si>
  <si>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</si>
  <si>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</si>
  <si>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</si>
  <si>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</si>
  <si>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</si>
  <si>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</si>
  <si>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</si>
  <si>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</si>
  <si>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</si>
  <si>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</si>
  <si>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</si>
  <si>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</si>
  <si>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</si>
  <si>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</si>
  <si>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</si>
  <si>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</si>
  <si>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</si>
  <si>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</si>
  <si>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</si>
  <si>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</si>
  <si>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</si>
  <si>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</si>
  <si>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</si>
  <si>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</si>
  <si>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</si>
  <si>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</si>
  <si>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</si>
  <si>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</si>
  <si>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</si>
  <si>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</si>
  <si>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</si>
  <si>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</si>
  <si>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</si>
  <si>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</si>
  <si>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</si>
  <si>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</si>
  <si>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</si>
  <si>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</si>
  <si>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</si>
  <si>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</si>
  <si>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</si>
  <si>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</si>
  <si>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</si>
  <si>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</si>
  <si>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</si>
  <si>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</si>
  <si>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</si>
  <si>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</si>
  <si>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</si>
  <si>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</si>
  <si>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</si>
  <si>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</si>
  <si>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</si>
  <si>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</si>
  <si>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</si>
  <si>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</si>
  <si>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</si>
  <si>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</si>
  <si>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</si>
  <si>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</si>
  <si>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</si>
  <si>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</si>
  <si>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</si>
  <si>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</si>
  <si>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</si>
  <si>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</si>
  <si>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</si>
  <si>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</si>
  <si>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</si>
  <si>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</si>
  <si>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</si>
  <si>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</si>
  <si>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</si>
  <si>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</si>
  <si>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</si>
  <si>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</si>
  <si>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</si>
  <si>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</si>
  <si>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</si>
  <si>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</si>
  <si>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</si>
  <si>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</si>
  <si>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</si>
  <si>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</si>
  <si>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</si>
  <si>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</si>
  <si>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</si>
  <si>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</si>
  <si>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</si>
  <si>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</si>
  <si>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</si>
  <si>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</si>
  <si>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</si>
  <si>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</si>
  <si>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</si>
  <si>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</si>
  <si>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</si>
  <si>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</si>
  <si>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</si>
  <si>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</si>
  <si>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</si>
  <si>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</si>
  <si>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</si>
  <si>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</si>
  <si>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</si>
  <si>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</si>
  <si>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</si>
  <si>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</si>
  <si>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</si>
  <si>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</si>
  <si>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</si>
  <si>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</si>
  <si>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</si>
  <si>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</si>
  <si>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</si>
  <si>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</si>
  <si>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</si>
  <si>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</si>
  <si>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</si>
  <si>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</si>
  <si>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</si>
  <si>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</si>
  <si>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</si>
  <si>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</si>
  <si>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</si>
  <si>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</si>
  <si>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</si>
  <si>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</si>
  <si>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</si>
  <si>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</si>
  <si>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</si>
  <si>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</si>
  <si>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</si>
  <si>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</si>
  <si>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</si>
  <si>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</si>
  <si>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</si>
  <si>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</si>
  <si>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</si>
  <si>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</si>
  <si>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</si>
  <si>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</si>
  <si>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</si>
  <si>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</si>
  <si>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</si>
  <si>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</si>
  <si>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</si>
  <si>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</si>
  <si>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</si>
  <si>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</si>
  <si>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</si>
  <si>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</si>
  <si>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</si>
  <si>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</si>
  <si>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</si>
  <si>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</si>
  <si>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</si>
  <si>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</si>
  <si>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</si>
  <si>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</si>
  <si>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</si>
  <si>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</si>
  <si>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</si>
  <si>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</si>
  <si>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</si>
  <si>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</si>
  <si>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</si>
  <si>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</si>
  <si>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</si>
  <si>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</si>
  <si>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</si>
  <si>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</si>
  <si>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</si>
  <si>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</si>
  <si>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</si>
  <si>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</si>
  <si>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</si>
  <si>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</si>
  <si>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</si>
  <si>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</si>
  <si>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</si>
  <si>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</si>
  <si>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</si>
  <si>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</si>
  <si>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</si>
  <si>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</si>
  <si>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</si>
  <si>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</si>
  <si>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</si>
  <si>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</si>
  <si>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</si>
  <si>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</si>
  <si>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</si>
  <si>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</si>
  <si>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</si>
  <si>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</si>
  <si>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</si>
  <si>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</si>
  <si>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</si>
  <si>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</si>
  <si>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</si>
  <si>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</si>
  <si>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</si>
  <si>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</si>
  <si>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</si>
  <si>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</si>
  <si>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</si>
  <si>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</si>
  <si>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</si>
  <si>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</si>
  <si>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</si>
  <si>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</si>
  <si>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</si>
  <si>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</si>
  <si>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</si>
  <si>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</si>
  <si>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</si>
  <si>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</si>
  <si>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</si>
  <si>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</si>
  <si>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</si>
  <si>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</si>
  <si>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</si>
  <si>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</si>
  <si>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</si>
  <si>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</si>
  <si>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</si>
  <si>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</si>
  <si>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</si>
  <si>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</si>
  <si>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</si>
  <si>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</si>
  <si>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</si>
  <si>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</si>
  <si>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</si>
  <si>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</si>
  <si>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</si>
  <si>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</si>
  <si>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</si>
  <si>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</si>
  <si>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</si>
  <si>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</si>
  <si>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</si>
  <si>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</si>
  <si>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</si>
  <si>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</si>
  <si>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</si>
  <si>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</si>
  <si>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</si>
  <si>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</si>
  <si>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</si>
  <si>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</si>
  <si>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</si>
  <si>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</si>
  <si>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</si>
  <si>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</si>
  <si>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</si>
  <si>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</si>
  <si>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</si>
  <si>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</si>
  <si>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</si>
  <si>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</si>
  <si>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</si>
  <si>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</si>
  <si>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</si>
  <si>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</si>
  <si>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</si>
  <si>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</si>
  <si>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</si>
  <si>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</si>
  <si>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</si>
  <si>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</si>
  <si>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</si>
  <si>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</si>
  <si>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</si>
  <si>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</si>
  <si>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</si>
  <si>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</si>
  <si>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</si>
  <si>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</si>
  <si>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</si>
  <si>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</si>
  <si>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</si>
  <si>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</si>
  <si>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</si>
  <si>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</si>
  <si>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</si>
  <si>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</si>
  <si>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</si>
  <si>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</si>
  <si>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</si>
  <si>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</si>
  <si>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</si>
  <si>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</si>
  <si>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</si>
  <si>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</si>
  <si>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</si>
  <si>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</si>
  <si>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</si>
  <si>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</si>
  <si>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</si>
  <si>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</si>
  <si>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</si>
  <si>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</si>
  <si>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</si>
  <si>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</si>
  <si>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</si>
  <si>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</si>
  <si>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</si>
  <si>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</si>
  <si>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</si>
  <si>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</si>
  <si>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</si>
  <si>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</si>
  <si>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</si>
  <si>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</si>
  <si>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</si>
  <si>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</si>
  <si>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</si>
  <si>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</si>
  <si>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</si>
  <si>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</si>
  <si>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</si>
  <si>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</si>
  <si>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</si>
  <si>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</si>
  <si>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</si>
  <si>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</si>
  <si>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</si>
  <si>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</si>
  <si>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</si>
  <si>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</si>
  <si>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</si>
  <si>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</si>
  <si>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</si>
  <si>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</si>
  <si>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</si>
  <si>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</si>
  <si>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</si>
  <si>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</si>
  <si>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</si>
  <si>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</si>
  <si>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</si>
  <si>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</si>
  <si>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</si>
  <si>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</si>
  <si>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</si>
  <si>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</si>
  <si>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</si>
  <si>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</si>
  <si>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</si>
  <si>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</si>
  <si>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</si>
  <si>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</si>
  <si>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</si>
  <si>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</si>
  <si>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</si>
  <si>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</si>
  <si>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</si>
  <si>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</si>
  <si>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</si>
  <si>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</si>
  <si>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</si>
  <si>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</si>
  <si>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</si>
  <si>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</si>
  <si>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</si>
  <si>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</si>
  <si>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</si>
  <si>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</si>
  <si>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</si>
  <si>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</si>
  <si>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</si>
  <si>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</si>
  <si>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</si>
  <si>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</si>
  <si>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</si>
  <si>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</si>
  <si>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</si>
  <si>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</si>
  <si>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</si>
  <si>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</si>
  <si>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</si>
  <si>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</si>
  <si>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</si>
  <si>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</si>
  <si>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</si>
  <si>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</si>
  <si>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</si>
  <si>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</si>
  <si>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</si>
  <si>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</si>
  <si>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</si>
  <si>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</si>
  <si>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</si>
  <si>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</si>
  <si>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</si>
  <si>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</si>
  <si>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</si>
  <si>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</si>
  <si>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</si>
  <si>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</si>
  <si>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</si>
  <si>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</si>
  <si>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</si>
  <si>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</si>
  <si>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</si>
  <si>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</si>
  <si>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</si>
  <si>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 xml:space="preserve">Faculty </t>
  </si>
  <si>
    <t>Head Name</t>
  </si>
  <si>
    <t xml:space="preserve"> Dr. Mehta</t>
  </si>
  <si>
    <t xml:space="preserve">Science </t>
  </si>
  <si>
    <t>Dr. Roy</t>
  </si>
  <si>
    <t xml:space="preserve">Arts </t>
  </si>
  <si>
    <t>Dr. Sharma</t>
  </si>
  <si>
    <t xml:space="preserve">Business </t>
  </si>
  <si>
    <t>Dr. Sinha</t>
  </si>
  <si>
    <t>ANSWER:</t>
  </si>
  <si>
    <t>Highlight</t>
  </si>
  <si>
    <t>Row Labels</t>
  </si>
  <si>
    <t>Grand Total</t>
  </si>
  <si>
    <t>Average of GPA</t>
  </si>
  <si>
    <t>min. avg value</t>
  </si>
  <si>
    <t>pivort</t>
  </si>
  <si>
    <t>Sum of Scholarship</t>
  </si>
  <si>
    <t>Count of Student ID</t>
  </si>
  <si>
    <t>ID</t>
  </si>
  <si>
    <t>Course fee</t>
  </si>
  <si>
    <t xml:space="preserve">ID </t>
  </si>
  <si>
    <t>course name</t>
  </si>
  <si>
    <t>Highest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</si>
</sst>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33" borderId="0" xfId="0" applyNumberFormat="1" applyFill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kanya Rout" refreshedDate="45849.600528240742" createdVersion="8" refreshedVersion="8" minRefreshableVersion="3" recordCount="1200" xr:uid="{7D298F77-D407-4548-BAC7-5EA69D465AD9}">
  <cacheSource type="worksheet">
    <worksheetSource ref="A1:J1201" sheet="University_Enrollment_Dataset"/>
  </cacheSource>
  <cacheFields count="10">
    <cacheField name="Student ID" numFmtId="0">
      <sharedItems count="12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</sharedItems>
    </cacheField>
    <cacheField name="Student Name" numFmtId="0">
      <sharedItems count="1200">
        <s v="Student_0"/>
        <s v="Student_1"/>
        <s v="Student_2"/>
        <s v="Student_3"/>
        <s v="Student_4"/>
        <s v="Student_5"/>
        <s v="Student_6"/>
        <s v="Student_7"/>
        <s v="Student_8"/>
        <s v="Student_9"/>
        <s v="Student_10"/>
        <s v="Student_11"/>
        <s v="Student_12"/>
        <s v="Student_13"/>
        <s v="Student_14"/>
        <s v="Student_15"/>
        <s v="Student_16"/>
        <s v="Student_17"/>
        <s v="Student_18"/>
        <s v="Student_19"/>
        <s v="Student_20"/>
        <s v="Student_21"/>
        <s v="Student_22"/>
        <s v="Student_23"/>
        <s v="Student_24"/>
        <s v="Student_25"/>
        <s v="Student_26"/>
        <s v="Student_27"/>
        <s v="Student_28"/>
        <s v="Student_29"/>
        <s v="Student_30"/>
        <s v="Student_31"/>
        <s v="Student_32"/>
        <s v="Student_33"/>
        <s v="Student_34"/>
        <s v="Student_35"/>
        <s v="Student_36"/>
        <s v="Student_37"/>
        <s v="Student_38"/>
        <s v="Student_39"/>
        <s v="Student_40"/>
        <s v="Student_41"/>
        <s v="Student_42"/>
        <s v="Student_43"/>
        <s v="Student_44"/>
        <s v="Student_45"/>
        <s v="Student_46"/>
        <s v="Student_47"/>
        <s v="Student_48"/>
        <s v="Student_49"/>
        <s v="Student_50"/>
        <s v="Student_51"/>
        <s v="Student_52"/>
        <s v="Student_53"/>
        <s v="Student_54"/>
        <s v="Student_55"/>
        <s v="Student_56"/>
        <s v="Student_57"/>
        <s v="Student_58"/>
        <s v="Student_59"/>
        <s v="Student_60"/>
        <s v="Student_61"/>
        <s v="Student_62"/>
        <s v="Student_63"/>
        <s v="Student_64"/>
        <s v="Student_65"/>
        <s v="Student_66"/>
        <s v="Student_67"/>
        <s v="Student_68"/>
        <s v="Student_69"/>
        <s v="Student_70"/>
        <s v="Student_71"/>
        <s v="Student_72"/>
        <s v="Student_73"/>
        <s v="Student_74"/>
        <s v="Student_75"/>
        <s v="Student_76"/>
        <s v="Student_77"/>
        <s v="Student_78"/>
        <s v="Student_79"/>
        <s v="Student_80"/>
        <s v="Student_81"/>
        <s v="Student_82"/>
        <s v="Student_83"/>
        <s v="Student_84"/>
        <s v="Student_85"/>
        <s v="Student_86"/>
        <s v="Student_87"/>
        <s v="Student_88"/>
        <s v="Student_89"/>
        <s v="Student_90"/>
        <s v="Student_91"/>
        <s v="Student_92"/>
        <s v="Student_93"/>
        <s v="Student_94"/>
        <s v="Student_95"/>
        <s v="Student_96"/>
        <s v="Student_97"/>
        <s v="Student_98"/>
        <s v="Student_99"/>
        <s v="Student_100"/>
        <s v="Student_101"/>
        <s v="Student_102"/>
        <s v="Student_103"/>
        <s v="Student_104"/>
        <s v="Student_105"/>
        <s v="Student_106"/>
        <s v="Student_107"/>
        <s v="Student_108"/>
        <s v="Student_109"/>
        <s v="Student_110"/>
        <s v="Student_111"/>
        <s v="Student_112"/>
        <s v="Student_113"/>
        <s v="Student_114"/>
        <s v="Student_115"/>
        <s v="Student_116"/>
        <s v="Student_117"/>
        <s v="Student_118"/>
        <s v="Student_119"/>
        <s v="Student_120"/>
        <s v="Student_121"/>
        <s v="Student_122"/>
        <s v="Student_123"/>
        <s v="Student_124"/>
        <s v="Student_125"/>
        <s v="Student_126"/>
        <s v="Student_127"/>
        <s v="Student_128"/>
        <s v="Student_129"/>
        <s v="Student_130"/>
        <s v="Student_131"/>
        <s v="Student_132"/>
        <s v="Student_133"/>
        <s v="Student_134"/>
        <s v="Student_135"/>
        <s v="Student_136"/>
        <s v="Student_137"/>
        <s v="Student_138"/>
        <s v="Student_139"/>
        <s v="Student_140"/>
        <s v="Student_141"/>
        <s v="Student_142"/>
        <s v="Student_143"/>
        <s v="Student_144"/>
        <s v="Student_145"/>
        <s v="Student_146"/>
        <s v="Student_147"/>
        <s v="Student_148"/>
        <s v="Student_149"/>
        <s v="Student_150"/>
        <s v="Student_151"/>
        <s v="Student_152"/>
        <s v="Student_153"/>
        <s v="Student_154"/>
        <s v="Student_155"/>
        <s v="Student_156"/>
        <s v="Student_157"/>
        <s v="Student_158"/>
        <s v="Student_159"/>
        <s v="Student_160"/>
        <s v="Student_161"/>
        <s v="Student_162"/>
        <s v="Student_163"/>
        <s v="Student_164"/>
        <s v="Student_165"/>
        <s v="Student_166"/>
        <s v="Student_167"/>
        <s v="Student_168"/>
        <s v="Student_169"/>
        <s v="Student_170"/>
        <s v="Student_171"/>
        <s v="Student_172"/>
        <s v="Student_173"/>
        <s v="Student_174"/>
        <s v="Student_175"/>
        <s v="Student_176"/>
        <s v="Student_177"/>
        <s v="Student_178"/>
        <s v="Student_179"/>
        <s v="Student_180"/>
        <s v="Student_181"/>
        <s v="Student_182"/>
        <s v="Student_183"/>
        <s v="Student_184"/>
        <s v="Student_185"/>
        <s v="Student_186"/>
        <s v="Student_187"/>
        <s v="Student_188"/>
        <s v="Student_189"/>
        <s v="Student_190"/>
        <s v="Student_191"/>
        <s v="Student_192"/>
        <s v="Student_193"/>
        <s v="Student_194"/>
        <s v="Student_195"/>
        <s v="Student_196"/>
        <s v="Student_197"/>
        <s v="Student_198"/>
        <s v="Student_199"/>
        <s v="Student_200"/>
        <s v="Student_201"/>
        <s v="Student_202"/>
        <s v="Student_203"/>
        <s v="Student_204"/>
        <s v="Student_205"/>
        <s v="Student_206"/>
        <s v="Student_207"/>
        <s v="Student_208"/>
        <s v="Student_209"/>
        <s v="Student_210"/>
        <s v="Student_211"/>
        <s v="Student_212"/>
        <s v="Student_213"/>
        <s v="Student_214"/>
        <s v="Student_215"/>
        <s v="Student_216"/>
        <s v="Student_217"/>
        <s v="Student_218"/>
        <s v="Student_219"/>
        <s v="Student_220"/>
        <s v="Student_221"/>
        <s v="Student_222"/>
        <s v="Student_223"/>
        <s v="Student_224"/>
        <s v="Student_225"/>
        <s v="Student_226"/>
        <s v="Student_227"/>
        <s v="Student_228"/>
        <s v="Student_229"/>
        <s v="Student_230"/>
        <s v="Student_231"/>
        <s v="Student_232"/>
        <s v="Student_233"/>
        <s v="Student_234"/>
        <s v="Student_235"/>
        <s v="Student_236"/>
        <s v="Student_237"/>
        <s v="Student_238"/>
        <s v="Student_239"/>
        <s v="Student_240"/>
        <s v="Student_241"/>
        <s v="Student_242"/>
        <s v="Student_243"/>
        <s v="Student_244"/>
        <s v="Student_245"/>
        <s v="Student_246"/>
        <s v="Student_247"/>
        <s v="Student_248"/>
        <s v="Student_249"/>
        <s v="Student_250"/>
        <s v="Student_251"/>
        <s v="Student_252"/>
        <s v="Student_253"/>
        <s v="Student_254"/>
        <s v="Student_255"/>
        <s v="Student_256"/>
        <s v="Student_257"/>
        <s v="Student_258"/>
        <s v="Student_259"/>
        <s v="Student_260"/>
        <s v="Student_261"/>
        <s v="Student_262"/>
        <s v="Student_263"/>
        <s v="Student_264"/>
        <s v="Student_265"/>
        <s v="Student_266"/>
        <s v="Student_267"/>
        <s v="Student_268"/>
        <s v="Student_269"/>
        <s v="Student_270"/>
        <s v="Student_271"/>
        <s v="Student_272"/>
        <s v="Student_273"/>
        <s v="Student_274"/>
        <s v="Student_275"/>
        <s v="Student_276"/>
        <s v="Student_277"/>
        <s v="Student_278"/>
        <s v="Student_279"/>
        <s v="Student_280"/>
        <s v="Student_281"/>
        <s v="Student_282"/>
        <s v="Student_283"/>
        <s v="Student_284"/>
        <s v="Student_285"/>
        <s v="Student_286"/>
        <s v="Student_287"/>
        <s v="Student_288"/>
        <s v="Student_289"/>
        <s v="Student_290"/>
        <s v="Student_291"/>
        <s v="Student_292"/>
        <s v="Student_293"/>
        <s v="Student_294"/>
        <s v="Student_295"/>
        <s v="Student_296"/>
        <s v="Student_297"/>
        <s v="Student_298"/>
        <s v="Student_299"/>
        <s v="Student_300"/>
        <s v="Student_301"/>
        <s v="Student_302"/>
        <s v="Student_303"/>
        <s v="Student_304"/>
        <s v="Student_305"/>
        <s v="Student_306"/>
        <s v="Student_307"/>
        <s v="Student_308"/>
        <s v="Student_309"/>
        <s v="Student_310"/>
        <s v="Student_311"/>
        <s v="Student_312"/>
        <s v="Student_313"/>
        <s v="Student_314"/>
        <s v="Student_315"/>
        <s v="Student_316"/>
        <s v="Student_317"/>
        <s v="Student_318"/>
        <s v="Student_319"/>
        <s v="Student_320"/>
        <s v="Student_321"/>
        <s v="Student_322"/>
        <s v="Student_323"/>
        <s v="Student_324"/>
        <s v="Student_325"/>
        <s v="Student_326"/>
        <s v="Student_327"/>
        <s v="Student_328"/>
        <s v="Student_329"/>
        <s v="Student_330"/>
        <s v="Student_331"/>
        <s v="Student_332"/>
        <s v="Student_333"/>
        <s v="Student_334"/>
        <s v="Student_335"/>
        <s v="Student_336"/>
        <s v="Student_337"/>
        <s v="Student_338"/>
        <s v="Student_339"/>
        <s v="Student_340"/>
        <s v="Student_341"/>
        <s v="Student_342"/>
        <s v="Student_343"/>
        <s v="Student_344"/>
        <s v="Student_345"/>
        <s v="Student_346"/>
        <s v="Student_347"/>
        <s v="Student_348"/>
        <s v="Student_349"/>
        <s v="Student_350"/>
        <s v="Student_351"/>
        <s v="Student_352"/>
        <s v="Student_353"/>
        <s v="Student_354"/>
        <s v="Student_355"/>
        <s v="Student_356"/>
        <s v="Student_357"/>
        <s v="Student_358"/>
        <s v="Student_359"/>
        <s v="Student_360"/>
        <s v="Student_361"/>
        <s v="Student_362"/>
        <s v="Student_363"/>
        <s v="Student_364"/>
        <s v="Student_365"/>
        <s v="Student_366"/>
        <s v="Student_367"/>
        <s v="Student_368"/>
        <s v="Student_369"/>
        <s v="Student_370"/>
        <s v="Student_371"/>
        <s v="Student_372"/>
        <s v="Student_373"/>
        <s v="Student_374"/>
        <s v="Student_375"/>
        <s v="Student_376"/>
        <s v="Student_377"/>
        <s v="Student_378"/>
        <s v="Student_379"/>
        <s v="Student_380"/>
        <s v="Student_381"/>
        <s v="Student_382"/>
        <s v="Student_383"/>
        <s v="Student_384"/>
        <s v="Student_385"/>
        <s v="Student_386"/>
        <s v="Student_387"/>
        <s v="Student_388"/>
        <s v="Student_389"/>
        <s v="Student_390"/>
        <s v="Student_391"/>
        <s v="Student_392"/>
        <s v="Student_393"/>
        <s v="Student_394"/>
        <s v="Student_395"/>
        <s v="Student_396"/>
        <s v="Student_397"/>
        <s v="Student_398"/>
        <s v="Student_399"/>
        <s v="Student_400"/>
        <s v="Student_401"/>
        <s v="Student_402"/>
        <s v="Student_403"/>
        <s v="Student_404"/>
        <s v="Student_405"/>
        <s v="Student_406"/>
        <s v="Student_407"/>
        <s v="Student_408"/>
        <s v="Student_409"/>
        <s v="Student_410"/>
        <s v="Student_411"/>
        <s v="Student_412"/>
        <s v="Student_413"/>
        <s v="Student_414"/>
        <s v="Student_415"/>
        <s v="Student_416"/>
        <s v="Student_417"/>
        <s v="Student_418"/>
        <s v="Student_419"/>
        <s v="Student_420"/>
        <s v="Student_421"/>
        <s v="Student_422"/>
        <s v="Student_423"/>
        <s v="Student_424"/>
        <s v="Student_425"/>
        <s v="Student_426"/>
        <s v="Student_427"/>
        <s v="Student_428"/>
        <s v="Student_429"/>
        <s v="Student_430"/>
        <s v="Student_431"/>
        <s v="Student_432"/>
        <s v="Student_433"/>
        <s v="Student_434"/>
        <s v="Student_435"/>
        <s v="Student_436"/>
        <s v="Student_437"/>
        <s v="Student_438"/>
        <s v="Student_439"/>
        <s v="Student_440"/>
        <s v="Student_441"/>
        <s v="Student_442"/>
        <s v="Student_443"/>
        <s v="Student_444"/>
        <s v="Student_445"/>
        <s v="Student_446"/>
        <s v="Student_447"/>
        <s v="Student_448"/>
        <s v="Student_449"/>
        <s v="Student_450"/>
        <s v="Student_451"/>
        <s v="Student_452"/>
        <s v="Student_453"/>
        <s v="Student_454"/>
        <s v="Student_455"/>
        <s v="Student_456"/>
        <s v="Student_457"/>
        <s v="Student_458"/>
        <s v="Student_459"/>
        <s v="Student_460"/>
        <s v="Student_461"/>
        <s v="Student_462"/>
        <s v="Student_463"/>
        <s v="Student_464"/>
        <s v="Student_465"/>
        <s v="Student_466"/>
        <s v="Student_467"/>
        <s v="Student_468"/>
        <s v="Student_469"/>
        <s v="Student_470"/>
        <s v="Student_471"/>
        <s v="Student_472"/>
        <s v="Student_473"/>
        <s v="Student_474"/>
        <s v="Student_475"/>
        <s v="Student_476"/>
        <s v="Student_477"/>
        <s v="Student_478"/>
        <s v="Student_479"/>
        <s v="Student_480"/>
        <s v="Student_481"/>
        <s v="Student_482"/>
        <s v="Student_483"/>
        <s v="Student_484"/>
        <s v="Student_485"/>
        <s v="Student_486"/>
        <s v="Student_487"/>
        <s v="Student_488"/>
        <s v="Student_489"/>
        <s v="Student_490"/>
        <s v="Student_491"/>
        <s v="Student_492"/>
        <s v="Student_493"/>
        <s v="Student_494"/>
        <s v="Student_495"/>
        <s v="Student_496"/>
        <s v="Student_497"/>
        <s v="Student_498"/>
        <s v="Student_499"/>
        <s v="Student_500"/>
        <s v="Student_501"/>
        <s v="Student_502"/>
        <s v="Student_503"/>
        <s v="Student_504"/>
        <s v="Student_505"/>
        <s v="Student_506"/>
        <s v="Student_507"/>
        <s v="Student_508"/>
        <s v="Student_509"/>
        <s v="Student_510"/>
        <s v="Student_511"/>
        <s v="Student_512"/>
        <s v="Student_513"/>
        <s v="Student_514"/>
        <s v="Student_515"/>
        <s v="Student_516"/>
        <s v="Student_517"/>
        <s v="Student_518"/>
        <s v="Student_519"/>
        <s v="Student_520"/>
        <s v="Student_521"/>
        <s v="Student_522"/>
        <s v="Student_523"/>
        <s v="Student_524"/>
        <s v="Student_525"/>
        <s v="Student_526"/>
        <s v="Student_527"/>
        <s v="Student_528"/>
        <s v="Student_529"/>
        <s v="Student_530"/>
        <s v="Student_531"/>
        <s v="Student_532"/>
        <s v="Student_533"/>
        <s v="Student_534"/>
        <s v="Student_535"/>
        <s v="Student_536"/>
        <s v="Student_537"/>
        <s v="Student_538"/>
        <s v="Student_539"/>
        <s v="Student_540"/>
        <s v="Student_541"/>
        <s v="Student_542"/>
        <s v="Student_543"/>
        <s v="Student_544"/>
        <s v="Student_545"/>
        <s v="Student_546"/>
        <s v="Student_547"/>
        <s v="Student_548"/>
        <s v="Student_549"/>
        <s v="Student_550"/>
        <s v="Student_551"/>
        <s v="Student_552"/>
        <s v="Student_553"/>
        <s v="Student_554"/>
        <s v="Student_555"/>
        <s v="Student_556"/>
        <s v="Student_557"/>
        <s v="Student_558"/>
        <s v="Student_559"/>
        <s v="Student_560"/>
        <s v="Student_561"/>
        <s v="Student_562"/>
        <s v="Student_563"/>
        <s v="Student_564"/>
        <s v="Student_565"/>
        <s v="Student_566"/>
        <s v="Student_567"/>
        <s v="Student_568"/>
        <s v="Student_569"/>
        <s v="Student_570"/>
        <s v="Student_571"/>
        <s v="Student_572"/>
        <s v="Student_573"/>
        <s v="Student_574"/>
        <s v="Student_575"/>
        <s v="Student_576"/>
        <s v="Student_577"/>
        <s v="Student_578"/>
        <s v="Student_579"/>
        <s v="Student_580"/>
        <s v="Student_581"/>
        <s v="Student_582"/>
        <s v="Student_583"/>
        <s v="Student_584"/>
        <s v="Student_585"/>
        <s v="Student_586"/>
        <s v="Student_587"/>
        <s v="Student_588"/>
        <s v="Student_589"/>
        <s v="Student_590"/>
        <s v="Student_591"/>
        <s v="Student_592"/>
        <s v="Student_593"/>
        <s v="Student_594"/>
        <s v="Student_595"/>
        <s v="Student_596"/>
        <s v="Student_597"/>
        <s v="Student_598"/>
        <s v="Student_599"/>
        <s v="Student_600"/>
        <s v="Student_601"/>
        <s v="Student_602"/>
        <s v="Student_603"/>
        <s v="Student_604"/>
        <s v="Student_605"/>
        <s v="Student_606"/>
        <s v="Student_607"/>
        <s v="Student_608"/>
        <s v="Student_609"/>
        <s v="Student_610"/>
        <s v="Student_611"/>
        <s v="Student_612"/>
        <s v="Student_613"/>
        <s v="Student_614"/>
        <s v="Student_615"/>
        <s v="Student_616"/>
        <s v="Student_617"/>
        <s v="Student_618"/>
        <s v="Student_619"/>
        <s v="Student_620"/>
        <s v="Student_621"/>
        <s v="Student_622"/>
        <s v="Student_623"/>
        <s v="Student_624"/>
        <s v="Student_625"/>
        <s v="Student_626"/>
        <s v="Student_627"/>
        <s v="Student_628"/>
        <s v="Student_629"/>
        <s v="Student_630"/>
        <s v="Student_631"/>
        <s v="Student_632"/>
        <s v="Student_633"/>
        <s v="Student_634"/>
        <s v="Student_635"/>
        <s v="Student_636"/>
        <s v="Student_637"/>
        <s v="Student_638"/>
        <s v="Student_639"/>
        <s v="Student_640"/>
        <s v="Student_641"/>
        <s v="Student_642"/>
        <s v="Student_643"/>
        <s v="Student_644"/>
        <s v="Student_645"/>
        <s v="Student_646"/>
        <s v="Student_647"/>
        <s v="Student_648"/>
        <s v="Student_649"/>
        <s v="Student_650"/>
        <s v="Student_651"/>
        <s v="Student_652"/>
        <s v="Student_653"/>
        <s v="Student_654"/>
        <s v="Student_655"/>
        <s v="Student_656"/>
        <s v="Student_657"/>
        <s v="Student_658"/>
        <s v="Student_659"/>
        <s v="Student_660"/>
        <s v="Student_661"/>
        <s v="Student_662"/>
        <s v="Student_663"/>
        <s v="Student_664"/>
        <s v="Student_665"/>
        <s v="Student_666"/>
        <s v="Student_667"/>
        <s v="Student_668"/>
        <s v="Student_669"/>
        <s v="Student_670"/>
        <s v="Student_671"/>
        <s v="Student_672"/>
        <s v="Student_673"/>
        <s v="Student_674"/>
        <s v="Student_675"/>
        <s v="Student_676"/>
        <s v="Student_677"/>
        <s v="Student_678"/>
        <s v="Student_679"/>
        <s v="Student_680"/>
        <s v="Student_681"/>
        <s v="Student_682"/>
        <s v="Student_683"/>
        <s v="Student_684"/>
        <s v="Student_685"/>
        <s v="Student_686"/>
        <s v="Student_687"/>
        <s v="Student_688"/>
        <s v="Student_689"/>
        <s v="Student_690"/>
        <s v="Student_691"/>
        <s v="Student_692"/>
        <s v="Student_693"/>
        <s v="Student_694"/>
        <s v="Student_695"/>
        <s v="Student_696"/>
        <s v="Student_697"/>
        <s v="Student_698"/>
        <s v="Student_699"/>
        <s v="Student_700"/>
        <s v="Student_701"/>
        <s v="Student_702"/>
        <s v="Student_703"/>
        <s v="Student_704"/>
        <s v="Student_705"/>
        <s v="Student_706"/>
        <s v="Student_707"/>
        <s v="Student_708"/>
        <s v="Student_709"/>
        <s v="Student_710"/>
        <s v="Student_711"/>
        <s v="Student_712"/>
        <s v="Student_713"/>
        <s v="Student_714"/>
        <s v="Student_715"/>
        <s v="Student_716"/>
        <s v="Student_717"/>
        <s v="Student_718"/>
        <s v="Student_719"/>
        <s v="Student_720"/>
        <s v="Student_721"/>
        <s v="Student_722"/>
        <s v="Student_723"/>
        <s v="Student_724"/>
        <s v="Student_725"/>
        <s v="Student_726"/>
        <s v="Student_727"/>
        <s v="Student_728"/>
        <s v="Student_729"/>
        <s v="Student_730"/>
        <s v="Student_731"/>
        <s v="Student_732"/>
        <s v="Student_733"/>
        <s v="Student_734"/>
        <s v="Student_735"/>
        <s v="Student_736"/>
        <s v="Student_737"/>
        <s v="Student_738"/>
        <s v="Student_739"/>
        <s v="Student_740"/>
        <s v="Student_741"/>
        <s v="Student_742"/>
        <s v="Student_743"/>
        <s v="Student_744"/>
        <s v="Student_745"/>
        <s v="Student_746"/>
        <s v="Student_747"/>
        <s v="Student_748"/>
        <s v="Student_749"/>
        <s v="Student_750"/>
        <s v="Student_751"/>
        <s v="Student_752"/>
        <s v="Student_753"/>
        <s v="Student_754"/>
        <s v="Student_755"/>
        <s v="Student_756"/>
        <s v="Student_757"/>
        <s v="Student_758"/>
        <s v="Student_759"/>
        <s v="Student_760"/>
        <s v="Student_761"/>
        <s v="Student_762"/>
        <s v="Student_763"/>
        <s v="Student_764"/>
        <s v="Student_765"/>
        <s v="Student_766"/>
        <s v="Student_767"/>
        <s v="Student_768"/>
        <s v="Student_769"/>
        <s v="Student_770"/>
        <s v="Student_771"/>
        <s v="Student_772"/>
        <s v="Student_773"/>
        <s v="Student_774"/>
        <s v="Student_775"/>
        <s v="Student_776"/>
        <s v="Student_777"/>
        <s v="Student_778"/>
        <s v="Student_779"/>
        <s v="Student_780"/>
        <s v="Student_781"/>
        <s v="Student_782"/>
        <s v="Student_783"/>
        <s v="Student_784"/>
        <s v="Student_785"/>
        <s v="Student_786"/>
        <s v="Student_787"/>
        <s v="Student_788"/>
        <s v="Student_789"/>
        <s v="Student_790"/>
        <s v="Student_791"/>
        <s v="Student_792"/>
        <s v="Student_793"/>
        <s v="Student_794"/>
        <s v="Student_795"/>
        <s v="Student_796"/>
        <s v="Student_797"/>
        <s v="Student_798"/>
        <s v="Student_799"/>
        <s v="Student_800"/>
        <s v="Student_801"/>
        <s v="Student_802"/>
        <s v="Student_803"/>
        <s v="Student_804"/>
        <s v="Student_805"/>
        <s v="Student_806"/>
        <s v="Student_807"/>
        <s v="Student_808"/>
        <s v="Student_809"/>
        <s v="Student_810"/>
        <s v="Student_811"/>
        <s v="Student_812"/>
        <s v="Student_813"/>
        <s v="Student_814"/>
        <s v="Student_815"/>
        <s v="Student_816"/>
        <s v="Student_817"/>
        <s v="Student_818"/>
        <s v="Student_819"/>
        <s v="Student_820"/>
        <s v="Student_821"/>
        <s v="Student_822"/>
        <s v="Student_823"/>
        <s v="Student_824"/>
        <s v="Student_825"/>
        <s v="Student_826"/>
        <s v="Student_827"/>
        <s v="Student_828"/>
        <s v="Student_829"/>
        <s v="Student_830"/>
        <s v="Student_831"/>
        <s v="Student_832"/>
        <s v="Student_833"/>
        <s v="Student_834"/>
        <s v="Student_835"/>
        <s v="Student_836"/>
        <s v="Student_837"/>
        <s v="Student_838"/>
        <s v="Student_839"/>
        <s v="Student_840"/>
        <s v="Student_841"/>
        <s v="Student_842"/>
        <s v="Student_843"/>
        <s v="Student_844"/>
        <s v="Student_845"/>
        <s v="Student_846"/>
        <s v="Student_847"/>
        <s v="Student_848"/>
        <s v="Student_849"/>
        <s v="Student_850"/>
        <s v="Student_851"/>
        <s v="Student_852"/>
        <s v="Student_853"/>
        <s v="Student_854"/>
        <s v="Student_855"/>
        <s v="Student_856"/>
        <s v="Student_857"/>
        <s v="Student_858"/>
        <s v="Student_859"/>
        <s v="Student_860"/>
        <s v="Student_861"/>
        <s v="Student_862"/>
        <s v="Student_863"/>
        <s v="Student_864"/>
        <s v="Student_865"/>
        <s v="Student_866"/>
        <s v="Student_867"/>
        <s v="Student_868"/>
        <s v="Student_869"/>
        <s v="Student_870"/>
        <s v="Student_871"/>
        <s v="Student_872"/>
        <s v="Student_873"/>
        <s v="Student_874"/>
        <s v="Student_875"/>
        <s v="Student_876"/>
        <s v="Student_877"/>
        <s v="Student_878"/>
        <s v="Student_879"/>
        <s v="Student_880"/>
        <s v="Student_881"/>
        <s v="Student_882"/>
        <s v="Student_883"/>
        <s v="Student_884"/>
        <s v="Student_885"/>
        <s v="Student_886"/>
        <s v="Student_887"/>
        <s v="Student_888"/>
        <s v="Student_889"/>
        <s v="Student_890"/>
        <s v="Student_891"/>
        <s v="Student_892"/>
        <s v="Student_893"/>
        <s v="Student_894"/>
        <s v="Student_895"/>
        <s v="Student_896"/>
        <s v="Student_897"/>
        <s v="Student_898"/>
        <s v="Student_899"/>
        <s v="Student_900"/>
        <s v="Student_901"/>
        <s v="Student_902"/>
        <s v="Student_903"/>
        <s v="Student_904"/>
        <s v="Student_905"/>
        <s v="Student_906"/>
        <s v="Student_907"/>
        <s v="Student_908"/>
        <s v="Student_909"/>
        <s v="Student_910"/>
        <s v="Student_911"/>
        <s v="Student_912"/>
        <s v="Student_913"/>
        <s v="Student_914"/>
        <s v="Student_915"/>
        <s v="Student_916"/>
        <s v="Student_917"/>
        <s v="Student_918"/>
        <s v="Student_919"/>
        <s v="Student_920"/>
        <s v="Student_921"/>
        <s v="Student_922"/>
        <s v="Student_923"/>
        <s v="Student_924"/>
        <s v="Student_925"/>
        <s v="Student_926"/>
        <s v="Student_927"/>
        <s v="Student_928"/>
        <s v="Student_929"/>
        <s v="Student_930"/>
        <s v="Student_931"/>
        <s v="Student_932"/>
        <s v="Student_933"/>
        <s v="Student_934"/>
        <s v="Student_935"/>
        <s v="Student_936"/>
        <s v="Student_937"/>
        <s v="Student_938"/>
        <s v="Student_939"/>
        <s v="Student_940"/>
        <s v="Student_941"/>
        <s v="Student_942"/>
        <s v="Student_943"/>
        <s v="Student_944"/>
        <s v="Student_945"/>
        <s v="Student_946"/>
        <s v="Student_947"/>
        <s v="Student_948"/>
        <s v="Student_949"/>
        <s v="Student_950"/>
        <s v="Student_951"/>
        <s v="Student_952"/>
        <s v="Student_953"/>
        <s v="Student_954"/>
        <s v="Student_955"/>
        <s v="Student_956"/>
        <s v="Student_957"/>
        <s v="Student_958"/>
        <s v="Student_959"/>
        <s v="Student_960"/>
        <s v="Student_961"/>
        <s v="Student_962"/>
        <s v="Student_963"/>
        <s v="Student_964"/>
        <s v="Student_965"/>
        <s v="Student_966"/>
        <s v="Student_967"/>
        <s v="Student_968"/>
        <s v="Student_969"/>
        <s v="Student_970"/>
        <s v="Student_971"/>
        <s v="Student_972"/>
        <s v="Student_973"/>
        <s v="Student_974"/>
        <s v="Student_975"/>
        <s v="Student_976"/>
        <s v="Student_977"/>
        <s v="Student_978"/>
        <s v="Student_979"/>
        <s v="Student_980"/>
        <s v="Student_981"/>
        <s v="Student_982"/>
        <s v="Student_983"/>
        <s v="Student_984"/>
        <s v="Student_985"/>
        <s v="Student_986"/>
        <s v="Student_987"/>
        <s v="Student_988"/>
        <s v="Student_989"/>
        <s v="Student_990"/>
        <s v="Student_991"/>
        <s v="Student_992"/>
        <s v="Student_993"/>
        <s v="Student_994"/>
        <s v="Student_995"/>
        <s v="Student_996"/>
        <s v="Student_997"/>
        <s v="Student_998"/>
        <s v="Student_999"/>
        <s v="Student_1000"/>
        <s v="Student_1001"/>
        <s v="Student_1002"/>
        <s v="Student_1003"/>
        <s v="Student_1004"/>
        <s v="Student_1005"/>
        <s v="Student_1006"/>
        <s v="Student_1007"/>
        <s v="Student_1008"/>
        <s v="Student_1009"/>
        <s v="Student_1010"/>
        <s v="Student_1011"/>
        <s v="Student_1012"/>
        <s v="Student_1013"/>
        <s v="Student_1014"/>
        <s v="Student_1015"/>
        <s v="Student_1016"/>
        <s v="Student_1017"/>
        <s v="Student_1018"/>
        <s v="Student_1019"/>
        <s v="Student_1020"/>
        <s v="Student_1021"/>
        <s v="Student_1022"/>
        <s v="Student_1023"/>
        <s v="Student_1024"/>
        <s v="Student_1025"/>
        <s v="Student_1026"/>
        <s v="Student_1027"/>
        <s v="Student_1028"/>
        <s v="Student_1029"/>
        <s v="Student_1030"/>
        <s v="Student_1031"/>
        <s v="Student_1032"/>
        <s v="Student_1033"/>
        <s v="Student_1034"/>
        <s v="Student_1035"/>
        <s v="Student_1036"/>
        <s v="Student_1037"/>
        <s v="Student_1038"/>
        <s v="Student_1039"/>
        <s v="Student_1040"/>
        <s v="Student_1041"/>
        <s v="Student_1042"/>
        <s v="Student_1043"/>
        <s v="Student_1044"/>
        <s v="Student_1045"/>
        <s v="Student_1046"/>
        <s v="Student_1047"/>
        <s v="Student_1048"/>
        <s v="Student_1049"/>
        <s v="Student_1050"/>
        <s v="Student_1051"/>
        <s v="Student_1052"/>
        <s v="Student_1053"/>
        <s v="Student_1054"/>
        <s v="Student_1055"/>
        <s v="Student_1056"/>
        <s v="Student_1057"/>
        <s v="Student_1058"/>
        <s v="Student_1059"/>
        <s v="Student_1060"/>
        <s v="Student_1061"/>
        <s v="Student_1062"/>
        <s v="Student_1063"/>
        <s v="Student_1064"/>
        <s v="Student_1065"/>
        <s v="Student_1066"/>
        <s v="Student_1067"/>
        <s v="Student_1068"/>
        <s v="Student_1069"/>
        <s v="Student_1070"/>
        <s v="Student_1071"/>
        <s v="Student_1072"/>
        <s v="Student_1073"/>
        <s v="Student_1074"/>
        <s v="Student_1075"/>
        <s v="Student_1076"/>
        <s v="Student_1077"/>
        <s v="Student_1078"/>
        <s v="Student_1079"/>
        <s v="Student_1080"/>
        <s v="Student_1081"/>
        <s v="Student_1082"/>
        <s v="Student_1083"/>
        <s v="Student_1084"/>
        <s v="Student_1085"/>
        <s v="Student_1086"/>
        <s v="Student_1087"/>
        <s v="Student_1088"/>
        <s v="Student_1089"/>
        <s v="Student_1090"/>
        <s v="Student_1091"/>
        <s v="Student_1092"/>
        <s v="Student_1093"/>
        <s v="Student_1094"/>
        <s v="Student_1095"/>
        <s v="Student_1096"/>
        <s v="Student_1097"/>
        <s v="Student_1098"/>
        <s v="Student_1099"/>
        <s v="Student_1100"/>
        <s v="Student_1101"/>
        <s v="Student_1102"/>
        <s v="Student_1103"/>
        <s v="Student_1104"/>
        <s v="Student_1105"/>
        <s v="Student_1106"/>
        <s v="Student_1107"/>
        <s v="Student_1108"/>
        <s v="Student_1109"/>
        <s v="Student_1110"/>
        <s v="Student_1111"/>
        <s v="Student_1112"/>
        <s v="Student_1113"/>
        <s v="Student_1114"/>
        <s v="Student_1115"/>
        <s v="Student_1116"/>
        <s v="Student_1117"/>
        <s v="Student_1118"/>
        <s v="Student_1119"/>
        <s v="Student_1120"/>
        <s v="Student_1121"/>
        <s v="Student_1122"/>
        <s v="Student_1123"/>
        <s v="Student_1124"/>
        <s v="Student_1125"/>
        <s v="Student_1126"/>
        <s v="Student_1127"/>
        <s v="Student_1128"/>
        <s v="Student_1129"/>
        <s v="Student_1130"/>
        <s v="Student_1131"/>
        <s v="Student_1132"/>
        <s v="Student_1133"/>
        <s v="Student_1134"/>
        <s v="Student_1135"/>
        <s v="Student_1136"/>
        <s v="Student_1137"/>
        <s v="Student_1138"/>
        <s v="Student_1139"/>
        <s v="Student_1140"/>
        <s v="Student_1141"/>
        <s v="Student_1142"/>
        <s v="Student_1143"/>
        <s v="Student_1144"/>
        <s v="Student_1145"/>
        <s v="Student_1146"/>
        <s v="Student_1147"/>
        <s v="Student_1148"/>
        <s v="Student_1149"/>
        <s v="Student_1150"/>
        <s v="Student_1151"/>
        <s v="Student_1152"/>
        <s v="Student_1153"/>
        <s v="Student_1154"/>
        <s v="Student_1155"/>
        <s v="Student_1156"/>
        <s v="Student_1157"/>
        <s v="Student_1158"/>
        <s v="Student_1159"/>
        <s v="Student_1160"/>
        <s v="Student_1161"/>
        <s v="Student_1162"/>
        <s v="Student_1163"/>
        <s v="Student_1164"/>
        <s v="Student_1165"/>
        <s v="Student_1166"/>
        <s v="Student_1167"/>
        <s v="Student_1168"/>
        <s v="Student_1169"/>
        <s v="Student_1170"/>
        <s v="Student_1171"/>
        <s v="Student_1172"/>
        <s v="Student_1173"/>
        <s v="Student_1174"/>
        <s v="Student_1175"/>
        <s v="Student_1176"/>
        <s v="Student_1177"/>
        <s v="Student_1178"/>
        <s v="Student_1179"/>
        <s v="Student_1180"/>
        <s v="Student_1181"/>
        <s v="Student_1182"/>
        <s v="Student_1183"/>
        <s v="Student_1184"/>
        <s v="Student_1185"/>
        <s v="Student_1186"/>
        <s v="Student_1187"/>
        <s v="Student_1188"/>
        <s v="Student_1189"/>
        <s v="Student_1190"/>
        <s v="Student_1191"/>
        <s v="Student_1192"/>
        <s v="Student_1193"/>
        <s v="Student_1194"/>
        <s v="Student_1195"/>
        <s v="Student_1196"/>
        <s v="Student_1197"/>
        <s v="Student_1198"/>
        <s v="Student_1199"/>
      </sharedItems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d v="2023-03-28T00:00:00"/>
    <x v="0"/>
    <n v="14714"/>
    <n v="1099"/>
    <n v="2.39"/>
    <n v="89"/>
  </r>
  <r>
    <x v="1"/>
    <x v="1"/>
    <x v="1"/>
    <x v="1"/>
    <d v="2022-10-21T00:00:00"/>
    <x v="1"/>
    <n v="5718"/>
    <n v="4700"/>
    <n v="3.49"/>
    <n v="79"/>
  </r>
  <r>
    <x v="2"/>
    <x v="2"/>
    <x v="2"/>
    <x v="0"/>
    <d v="2023-09-11T00:00:00"/>
    <x v="0"/>
    <n v="5726"/>
    <n v="3408"/>
    <n v="3.08"/>
    <n v="84"/>
  </r>
  <r>
    <x v="3"/>
    <x v="3"/>
    <x v="3"/>
    <x v="1"/>
    <d v="2023-11-23T00:00:00"/>
    <x v="1"/>
    <n v="10846"/>
    <n v="3245"/>
    <n v="3.59"/>
    <n v="9"/>
  </r>
  <r>
    <x v="4"/>
    <x v="4"/>
    <x v="4"/>
    <x v="1"/>
    <d v="2024-04-18T00:00:00"/>
    <x v="0"/>
    <n v="11437"/>
    <n v="4259"/>
    <n v="3.31"/>
    <n v="72"/>
  </r>
  <r>
    <x v="5"/>
    <x v="5"/>
    <x v="1"/>
    <x v="2"/>
    <d v="2022-06-25T00:00:00"/>
    <x v="1"/>
    <n v="13342"/>
    <n v="2831"/>
    <n v="3.39"/>
    <n v="107"/>
  </r>
  <r>
    <x v="6"/>
    <x v="6"/>
    <x v="3"/>
    <x v="0"/>
    <d v="2023-02-19T00:00:00"/>
    <x v="0"/>
    <n v="3831"/>
    <n v="3078"/>
    <n v="2.4500000000000002"/>
    <n v="70"/>
  </r>
  <r>
    <x v="7"/>
    <x v="7"/>
    <x v="5"/>
    <x v="0"/>
    <d v="2022-06-02T00:00:00"/>
    <x v="0"/>
    <n v="8155"/>
    <n v="6039"/>
    <n v="3.41"/>
    <n v="118"/>
  </r>
  <r>
    <x v="8"/>
    <x v="8"/>
    <x v="4"/>
    <x v="2"/>
    <d v="2023-01-13T00:00:00"/>
    <x v="2"/>
    <n v="4061"/>
    <n v="2208"/>
    <n v="3.2"/>
    <n v="100"/>
  </r>
  <r>
    <x v="9"/>
    <x v="9"/>
    <x v="1"/>
    <x v="0"/>
    <d v="2022-11-16T00:00:00"/>
    <x v="1"/>
    <n v="5718"/>
    <n v="2737"/>
    <n v="2.02"/>
    <n v="38"/>
  </r>
  <r>
    <x v="10"/>
    <x v="10"/>
    <x v="2"/>
    <x v="2"/>
    <d v="2023-03-24T00:00:00"/>
    <x v="0"/>
    <n v="9724"/>
    <n v="2303"/>
    <n v="2.61"/>
    <n v="52"/>
  </r>
  <r>
    <x v="11"/>
    <x v="11"/>
    <x v="4"/>
    <x v="2"/>
    <d v="2022-03-04T00:00:00"/>
    <x v="0"/>
    <n v="6176"/>
    <n v="5301"/>
    <n v="3.16"/>
    <n v="37"/>
  </r>
  <r>
    <x v="12"/>
    <x v="12"/>
    <x v="1"/>
    <x v="1"/>
    <d v="2023-10-20T00:00:00"/>
    <x v="1"/>
    <n v="11085"/>
    <n v="1939"/>
    <n v="3.02"/>
    <n v="107"/>
  </r>
  <r>
    <x v="13"/>
    <x v="13"/>
    <x v="5"/>
    <x v="1"/>
    <d v="2022-11-02T00:00:00"/>
    <x v="1"/>
    <n v="8006"/>
    <n v="7602"/>
    <n v="3.38"/>
    <n v="84"/>
  </r>
  <r>
    <x v="14"/>
    <x v="14"/>
    <x v="5"/>
    <x v="1"/>
    <d v="2023-09-27T00:00:00"/>
    <x v="0"/>
    <n v="14699"/>
    <n v="4188"/>
    <n v="3.4"/>
    <n v="25"/>
  </r>
  <r>
    <x v="15"/>
    <x v="15"/>
    <x v="6"/>
    <x v="2"/>
    <d v="2022-05-04T00:00:00"/>
    <x v="1"/>
    <n v="10985"/>
    <n v="1391"/>
    <n v="3.47"/>
    <n v="18"/>
  </r>
  <r>
    <x v="16"/>
    <x v="16"/>
    <x v="7"/>
    <x v="0"/>
    <d v="2023-07-22T00:00:00"/>
    <x v="0"/>
    <n v="6946"/>
    <n v="8514"/>
    <n v="2.08"/>
    <n v="73"/>
  </r>
  <r>
    <x v="17"/>
    <x v="17"/>
    <x v="2"/>
    <x v="1"/>
    <d v="2023-10-23T00:00:00"/>
    <x v="0"/>
    <n v="5088"/>
    <n v="1973"/>
    <n v="3.56"/>
    <n v="52"/>
  </r>
  <r>
    <x v="18"/>
    <x v="18"/>
    <x v="4"/>
    <x v="3"/>
    <d v="2023-02-04T00:00:00"/>
    <x v="0"/>
    <n v="3188"/>
    <n v="9735"/>
    <n v="3.54"/>
    <n v="67"/>
  </r>
  <r>
    <x v="19"/>
    <x v="19"/>
    <x v="6"/>
    <x v="2"/>
    <d v="2022-07-30T00:00:00"/>
    <x v="1"/>
    <n v="6258"/>
    <n v="9965"/>
    <n v="2.48"/>
    <n v="100"/>
  </r>
  <r>
    <x v="20"/>
    <x v="20"/>
    <x v="3"/>
    <x v="1"/>
    <d v="2023-08-28T00:00:00"/>
    <x v="0"/>
    <n v="12607"/>
    <n v="4963"/>
    <n v="2.86"/>
    <n v="25"/>
  </r>
  <r>
    <x v="21"/>
    <x v="21"/>
    <x v="3"/>
    <x v="2"/>
    <d v="2023-03-19T00:00:00"/>
    <x v="0"/>
    <n v="9303"/>
    <n v="9181"/>
    <n v="2.12"/>
    <n v="119"/>
  </r>
  <r>
    <x v="22"/>
    <x v="22"/>
    <x v="5"/>
    <x v="0"/>
    <d v="2023-01-06T00:00:00"/>
    <x v="1"/>
    <n v="2797"/>
    <n v="6036"/>
    <n v="2.36"/>
    <n v="14"/>
  </r>
  <r>
    <x v="23"/>
    <x v="23"/>
    <x v="0"/>
    <x v="2"/>
    <d v="2023-06-06T00:00:00"/>
    <x v="1"/>
    <n v="6057"/>
    <n v="7133"/>
    <n v="2.57"/>
    <n v="93"/>
  </r>
  <r>
    <x v="24"/>
    <x v="24"/>
    <x v="7"/>
    <x v="2"/>
    <d v="2022-01-03T00:00:00"/>
    <x v="1"/>
    <n v="8791"/>
    <n v="7232"/>
    <n v="3.2"/>
    <n v="14"/>
  </r>
  <r>
    <x v="25"/>
    <x v="25"/>
    <x v="2"/>
    <x v="3"/>
    <d v="2024-06-04T00:00:00"/>
    <x v="0"/>
    <n v="6655"/>
    <n v="6637"/>
    <n v="3.15"/>
    <n v="43"/>
  </r>
  <r>
    <x v="26"/>
    <x v="26"/>
    <x v="0"/>
    <x v="2"/>
    <d v="2023-06-15T00:00:00"/>
    <x v="1"/>
    <n v="5008"/>
    <n v="907"/>
    <n v="3.83"/>
    <n v="96"/>
  </r>
  <r>
    <x v="27"/>
    <x v="27"/>
    <x v="5"/>
    <x v="1"/>
    <d v="2022-06-25T00:00:00"/>
    <x v="0"/>
    <n v="13997"/>
    <n v="2778"/>
    <n v="3.22"/>
    <n v="87"/>
  </r>
  <r>
    <x v="28"/>
    <x v="28"/>
    <x v="2"/>
    <x v="3"/>
    <d v="2023-06-09T00:00:00"/>
    <x v="0"/>
    <n v="4627"/>
    <n v="5935"/>
    <n v="2.29"/>
    <n v="118"/>
  </r>
  <r>
    <x v="29"/>
    <x v="29"/>
    <x v="0"/>
    <x v="1"/>
    <d v="2024-04-05T00:00:00"/>
    <x v="1"/>
    <n v="6711"/>
    <n v="9649"/>
    <n v="3.2"/>
    <n v="54"/>
  </r>
  <r>
    <x v="30"/>
    <x v="30"/>
    <x v="7"/>
    <x v="1"/>
    <d v="2022-09-27T00:00:00"/>
    <x v="1"/>
    <n v="2173"/>
    <n v="5739"/>
    <n v="3.09"/>
    <n v="97"/>
  </r>
  <r>
    <x v="31"/>
    <x v="31"/>
    <x v="7"/>
    <x v="3"/>
    <d v="2022-02-10T00:00:00"/>
    <x v="0"/>
    <n v="8163"/>
    <n v="7715"/>
    <n v="2.2799999999999998"/>
    <n v="19"/>
  </r>
  <r>
    <x v="32"/>
    <x v="32"/>
    <x v="4"/>
    <x v="0"/>
    <d v="2022-01-01T00:00:00"/>
    <x v="0"/>
    <n v="14774"/>
    <n v="1884"/>
    <n v="2.78"/>
    <n v="9"/>
  </r>
  <r>
    <x v="33"/>
    <x v="33"/>
    <x v="7"/>
    <x v="2"/>
    <d v="2023-06-14T00:00:00"/>
    <x v="1"/>
    <n v="7783"/>
    <n v="3240"/>
    <n v="2.82"/>
    <n v="115"/>
  </r>
  <r>
    <x v="34"/>
    <x v="34"/>
    <x v="3"/>
    <x v="2"/>
    <d v="2022-03-30T00:00:00"/>
    <x v="1"/>
    <n v="14442"/>
    <n v="7220"/>
    <n v="2.76"/>
    <n v="109"/>
  </r>
  <r>
    <x v="35"/>
    <x v="35"/>
    <x v="6"/>
    <x v="1"/>
    <d v="2023-05-07T00:00:00"/>
    <x v="0"/>
    <n v="4770"/>
    <n v="945"/>
    <n v="2.75"/>
    <n v="38"/>
  </r>
  <r>
    <x v="36"/>
    <x v="36"/>
    <x v="1"/>
    <x v="0"/>
    <d v="2024-02-06T00:00:00"/>
    <x v="1"/>
    <n v="14761"/>
    <n v="4478"/>
    <n v="2.65"/>
    <n v="2"/>
  </r>
  <r>
    <x v="37"/>
    <x v="37"/>
    <x v="7"/>
    <x v="1"/>
    <d v="2022-02-27T00:00:00"/>
    <x v="1"/>
    <n v="14013"/>
    <n v="9022"/>
    <n v="2.13"/>
    <n v="10"/>
  </r>
  <r>
    <x v="38"/>
    <x v="38"/>
    <x v="3"/>
    <x v="3"/>
    <d v="2024-03-28T00:00:00"/>
    <x v="1"/>
    <n v="8345"/>
    <n v="5347"/>
    <n v="3.8"/>
    <n v="53"/>
  </r>
  <r>
    <x v="39"/>
    <x v="39"/>
    <x v="1"/>
    <x v="1"/>
    <d v="2022-11-18T00:00:00"/>
    <x v="0"/>
    <n v="10449"/>
    <n v="4324"/>
    <n v="3.08"/>
    <n v="2"/>
  </r>
  <r>
    <x v="40"/>
    <x v="40"/>
    <x v="5"/>
    <x v="2"/>
    <d v="2023-02-22T00:00:00"/>
    <x v="0"/>
    <n v="14303"/>
    <n v="4160"/>
    <n v="2.39"/>
    <n v="42"/>
  </r>
  <r>
    <x v="41"/>
    <x v="41"/>
    <x v="6"/>
    <x v="1"/>
    <d v="2022-01-16T00:00:00"/>
    <x v="0"/>
    <n v="5900"/>
    <n v="9481"/>
    <n v="3.17"/>
    <n v="15"/>
  </r>
  <r>
    <x v="42"/>
    <x v="42"/>
    <x v="5"/>
    <x v="1"/>
    <d v="2022-12-20T00:00:00"/>
    <x v="1"/>
    <n v="6128"/>
    <n v="7957"/>
    <n v="2.2799999999999998"/>
    <n v="115"/>
  </r>
  <r>
    <x v="43"/>
    <x v="43"/>
    <x v="5"/>
    <x v="0"/>
    <d v="2023-03-12T00:00:00"/>
    <x v="0"/>
    <n v="10731"/>
    <n v="8324"/>
    <n v="3.2"/>
    <n v="13"/>
  </r>
  <r>
    <x v="44"/>
    <x v="44"/>
    <x v="6"/>
    <x v="2"/>
    <d v="2022-03-29T00:00:00"/>
    <x v="0"/>
    <n v="12461"/>
    <n v="5874"/>
    <n v="2.31"/>
    <n v="114"/>
  </r>
  <r>
    <x v="45"/>
    <x v="45"/>
    <x v="5"/>
    <x v="0"/>
    <d v="2023-08-22T00:00:00"/>
    <x v="0"/>
    <n v="13677"/>
    <n v="7817"/>
    <n v="3.39"/>
    <n v="74"/>
  </r>
  <r>
    <x v="46"/>
    <x v="46"/>
    <x v="2"/>
    <x v="0"/>
    <d v="2023-09-01T00:00:00"/>
    <x v="0"/>
    <n v="9276"/>
    <n v="5837"/>
    <n v="3.16"/>
    <n v="92"/>
  </r>
  <r>
    <x v="47"/>
    <x v="47"/>
    <x v="0"/>
    <x v="1"/>
    <d v="2023-09-13T00:00:00"/>
    <x v="0"/>
    <n v="2183"/>
    <n v="7214"/>
    <n v="3.33"/>
    <n v="97"/>
  </r>
  <r>
    <x v="48"/>
    <x v="48"/>
    <x v="2"/>
    <x v="0"/>
    <d v="2023-04-26T00:00:00"/>
    <x v="1"/>
    <n v="6227"/>
    <n v="5349"/>
    <n v="3.85"/>
    <n v="75"/>
  </r>
  <r>
    <x v="49"/>
    <x v="49"/>
    <x v="4"/>
    <x v="0"/>
    <d v="2022-02-07T00:00:00"/>
    <x v="0"/>
    <n v="4500"/>
    <n v="1352"/>
    <n v="2.91"/>
    <n v="87"/>
  </r>
  <r>
    <x v="50"/>
    <x v="50"/>
    <x v="5"/>
    <x v="1"/>
    <d v="2024-03-02T00:00:00"/>
    <x v="0"/>
    <n v="4615"/>
    <n v="3667"/>
    <n v="3.61"/>
    <n v="41"/>
  </r>
  <r>
    <x v="51"/>
    <x v="51"/>
    <x v="4"/>
    <x v="3"/>
    <d v="2022-05-24T00:00:00"/>
    <x v="0"/>
    <n v="11879"/>
    <n v="1955"/>
    <n v="3.1"/>
    <n v="7"/>
  </r>
  <r>
    <x v="52"/>
    <x v="52"/>
    <x v="5"/>
    <x v="3"/>
    <d v="2022-11-28T00:00:00"/>
    <x v="0"/>
    <n v="4067"/>
    <n v="6992"/>
    <n v="2.34"/>
    <n v="20"/>
  </r>
  <r>
    <x v="53"/>
    <x v="53"/>
    <x v="3"/>
    <x v="1"/>
    <d v="2023-03-13T00:00:00"/>
    <x v="1"/>
    <n v="4873"/>
    <n v="4377"/>
    <n v="3.78"/>
    <n v="80"/>
  </r>
  <r>
    <x v="54"/>
    <x v="54"/>
    <x v="1"/>
    <x v="3"/>
    <d v="2023-01-04T00:00:00"/>
    <x v="0"/>
    <n v="3391"/>
    <n v="8884"/>
    <n v="3.88"/>
    <n v="59"/>
  </r>
  <r>
    <x v="55"/>
    <x v="55"/>
    <x v="3"/>
    <x v="3"/>
    <d v="2024-01-09T00:00:00"/>
    <x v="0"/>
    <n v="10808"/>
    <n v="8868"/>
    <n v="2.4300000000000002"/>
    <n v="18"/>
  </r>
  <r>
    <x v="56"/>
    <x v="56"/>
    <x v="6"/>
    <x v="0"/>
    <d v="2022-08-12T00:00:00"/>
    <x v="0"/>
    <n v="5739"/>
    <n v="9881"/>
    <n v="2.42"/>
    <n v="78"/>
  </r>
  <r>
    <x v="57"/>
    <x v="57"/>
    <x v="2"/>
    <x v="2"/>
    <d v="2023-06-09T00:00:00"/>
    <x v="0"/>
    <n v="4317"/>
    <n v="4541"/>
    <n v="3.49"/>
    <n v="107"/>
  </r>
  <r>
    <x v="58"/>
    <x v="58"/>
    <x v="1"/>
    <x v="1"/>
    <d v="2023-11-25T00:00:00"/>
    <x v="2"/>
    <n v="7954"/>
    <n v="9329"/>
    <n v="3.4"/>
    <n v="64"/>
  </r>
  <r>
    <x v="59"/>
    <x v="59"/>
    <x v="6"/>
    <x v="1"/>
    <d v="2022-08-13T00:00:00"/>
    <x v="2"/>
    <n v="10043"/>
    <n v="631"/>
    <n v="2.68"/>
    <n v="77"/>
  </r>
  <r>
    <x v="60"/>
    <x v="60"/>
    <x v="5"/>
    <x v="3"/>
    <d v="2022-11-05T00:00:00"/>
    <x v="0"/>
    <n v="6418"/>
    <n v="3384"/>
    <n v="2"/>
    <n v="93"/>
  </r>
  <r>
    <x v="61"/>
    <x v="61"/>
    <x v="5"/>
    <x v="3"/>
    <d v="2023-11-26T00:00:00"/>
    <x v="0"/>
    <n v="4274"/>
    <n v="2777"/>
    <n v="3.53"/>
    <n v="22"/>
  </r>
  <r>
    <x v="62"/>
    <x v="62"/>
    <x v="3"/>
    <x v="3"/>
    <d v="2022-06-24T00:00:00"/>
    <x v="0"/>
    <n v="14423"/>
    <n v="883"/>
    <n v="2.12"/>
    <n v="84"/>
  </r>
  <r>
    <x v="63"/>
    <x v="63"/>
    <x v="0"/>
    <x v="1"/>
    <d v="2022-08-28T00:00:00"/>
    <x v="1"/>
    <n v="5263"/>
    <n v="8683"/>
    <n v="2.31"/>
    <n v="45"/>
  </r>
  <r>
    <x v="64"/>
    <x v="64"/>
    <x v="2"/>
    <x v="1"/>
    <d v="2022-11-19T00:00:00"/>
    <x v="0"/>
    <n v="11418"/>
    <n v="7383"/>
    <n v="2.23"/>
    <n v="98"/>
  </r>
  <r>
    <x v="65"/>
    <x v="65"/>
    <x v="1"/>
    <x v="3"/>
    <d v="2023-06-25T00:00:00"/>
    <x v="0"/>
    <n v="12257"/>
    <n v="1265"/>
    <n v="2.67"/>
    <n v="77"/>
  </r>
  <r>
    <x v="66"/>
    <x v="66"/>
    <x v="4"/>
    <x v="2"/>
    <d v="2023-05-15T00:00:00"/>
    <x v="0"/>
    <n v="11963"/>
    <n v="6042"/>
    <n v="3.93"/>
    <n v="15"/>
  </r>
  <r>
    <x v="67"/>
    <x v="67"/>
    <x v="4"/>
    <x v="2"/>
    <d v="2023-09-16T00:00:00"/>
    <x v="0"/>
    <n v="14287"/>
    <n v="7031"/>
    <n v="3.57"/>
    <n v="47"/>
  </r>
  <r>
    <x v="68"/>
    <x v="68"/>
    <x v="2"/>
    <x v="1"/>
    <d v="2023-06-20T00:00:00"/>
    <x v="0"/>
    <n v="13017"/>
    <n v="5214"/>
    <n v="3.64"/>
    <n v="1"/>
  </r>
  <r>
    <x v="69"/>
    <x v="69"/>
    <x v="5"/>
    <x v="0"/>
    <d v="2022-10-24T00:00:00"/>
    <x v="0"/>
    <n v="5312"/>
    <n v="9048"/>
    <n v="3.35"/>
    <n v="66"/>
  </r>
  <r>
    <x v="70"/>
    <x v="70"/>
    <x v="1"/>
    <x v="3"/>
    <d v="2023-08-18T00:00:00"/>
    <x v="0"/>
    <n v="3888"/>
    <n v="3552"/>
    <n v="3.89"/>
    <n v="104"/>
  </r>
  <r>
    <x v="71"/>
    <x v="71"/>
    <x v="1"/>
    <x v="1"/>
    <d v="2022-02-07T00:00:00"/>
    <x v="0"/>
    <n v="5609"/>
    <n v="3376"/>
    <n v="2.75"/>
    <n v="105"/>
  </r>
  <r>
    <x v="72"/>
    <x v="72"/>
    <x v="4"/>
    <x v="1"/>
    <d v="2022-04-21T00:00:00"/>
    <x v="0"/>
    <n v="12778"/>
    <n v="4343"/>
    <n v="2.79"/>
    <n v="109"/>
  </r>
  <r>
    <x v="73"/>
    <x v="73"/>
    <x v="5"/>
    <x v="0"/>
    <d v="2023-11-07T00:00:00"/>
    <x v="1"/>
    <n v="13270"/>
    <n v="5520"/>
    <n v="2.12"/>
    <n v="111"/>
  </r>
  <r>
    <x v="74"/>
    <x v="74"/>
    <x v="3"/>
    <x v="1"/>
    <d v="2022-07-03T00:00:00"/>
    <x v="0"/>
    <n v="13617"/>
    <n v="7511"/>
    <n v="3.37"/>
    <n v="72"/>
  </r>
  <r>
    <x v="75"/>
    <x v="75"/>
    <x v="2"/>
    <x v="2"/>
    <d v="2022-07-08T00:00:00"/>
    <x v="2"/>
    <n v="5155"/>
    <n v="596"/>
    <n v="3.34"/>
    <n v="18"/>
  </r>
  <r>
    <x v="76"/>
    <x v="76"/>
    <x v="1"/>
    <x v="3"/>
    <d v="2022-12-01T00:00:00"/>
    <x v="0"/>
    <n v="14298"/>
    <n v="5064"/>
    <n v="3.83"/>
    <n v="17"/>
  </r>
  <r>
    <x v="77"/>
    <x v="77"/>
    <x v="1"/>
    <x v="0"/>
    <d v="2023-05-12T00:00:00"/>
    <x v="0"/>
    <n v="4932"/>
    <n v="9149"/>
    <n v="2.38"/>
    <n v="32"/>
  </r>
  <r>
    <x v="78"/>
    <x v="78"/>
    <x v="6"/>
    <x v="1"/>
    <d v="2023-12-27T00:00:00"/>
    <x v="0"/>
    <n v="14685"/>
    <n v="9078"/>
    <n v="2.02"/>
    <n v="27"/>
  </r>
  <r>
    <x v="79"/>
    <x v="79"/>
    <x v="2"/>
    <x v="0"/>
    <d v="2024-05-26T00:00:00"/>
    <x v="0"/>
    <n v="4021"/>
    <n v="9984"/>
    <n v="2.65"/>
    <n v="55"/>
  </r>
  <r>
    <x v="80"/>
    <x v="80"/>
    <x v="2"/>
    <x v="2"/>
    <d v="2023-09-03T00:00:00"/>
    <x v="0"/>
    <n v="14754"/>
    <n v="8580"/>
    <n v="3.89"/>
    <n v="68"/>
  </r>
  <r>
    <x v="81"/>
    <x v="81"/>
    <x v="7"/>
    <x v="3"/>
    <d v="2022-09-20T00:00:00"/>
    <x v="2"/>
    <n v="7359"/>
    <n v="9908"/>
    <n v="3.53"/>
    <n v="35"/>
  </r>
  <r>
    <x v="82"/>
    <x v="82"/>
    <x v="5"/>
    <x v="3"/>
    <d v="2022-04-02T00:00:00"/>
    <x v="0"/>
    <n v="9833"/>
    <n v="1595"/>
    <n v="3.64"/>
    <n v="28"/>
  </r>
  <r>
    <x v="83"/>
    <x v="83"/>
    <x v="3"/>
    <x v="2"/>
    <d v="2023-09-17T00:00:00"/>
    <x v="1"/>
    <n v="9039"/>
    <n v="6799"/>
    <n v="2.57"/>
    <n v="74"/>
  </r>
  <r>
    <x v="84"/>
    <x v="84"/>
    <x v="3"/>
    <x v="0"/>
    <d v="2022-03-07T00:00:00"/>
    <x v="1"/>
    <n v="7072"/>
    <n v="3108"/>
    <n v="3.66"/>
    <n v="82"/>
  </r>
  <r>
    <x v="85"/>
    <x v="85"/>
    <x v="5"/>
    <x v="2"/>
    <d v="2022-11-29T00:00:00"/>
    <x v="0"/>
    <n v="14564"/>
    <n v="9872"/>
    <n v="2.64"/>
    <n v="81"/>
  </r>
  <r>
    <x v="86"/>
    <x v="86"/>
    <x v="6"/>
    <x v="1"/>
    <d v="2022-10-05T00:00:00"/>
    <x v="0"/>
    <n v="9580"/>
    <n v="3701"/>
    <n v="2.27"/>
    <n v="14"/>
  </r>
  <r>
    <x v="87"/>
    <x v="87"/>
    <x v="2"/>
    <x v="3"/>
    <d v="2022-08-28T00:00:00"/>
    <x v="0"/>
    <n v="13295"/>
    <n v="1841"/>
    <n v="2.4"/>
    <n v="41"/>
  </r>
  <r>
    <x v="88"/>
    <x v="88"/>
    <x v="5"/>
    <x v="0"/>
    <d v="2023-05-27T00:00:00"/>
    <x v="0"/>
    <n v="13755"/>
    <n v="1211"/>
    <n v="2.92"/>
    <n v="95"/>
  </r>
  <r>
    <x v="89"/>
    <x v="89"/>
    <x v="2"/>
    <x v="3"/>
    <d v="2023-01-20T00:00:00"/>
    <x v="1"/>
    <n v="5803"/>
    <n v="4278"/>
    <n v="3.56"/>
    <n v="54"/>
  </r>
  <r>
    <x v="90"/>
    <x v="90"/>
    <x v="3"/>
    <x v="0"/>
    <d v="2022-02-28T00:00:00"/>
    <x v="1"/>
    <n v="4425"/>
    <n v="3762"/>
    <n v="3.25"/>
    <n v="88"/>
  </r>
  <r>
    <x v="91"/>
    <x v="91"/>
    <x v="7"/>
    <x v="2"/>
    <d v="2023-03-28T00:00:00"/>
    <x v="0"/>
    <n v="10595"/>
    <n v="583"/>
    <n v="2.06"/>
    <n v="53"/>
  </r>
  <r>
    <x v="92"/>
    <x v="92"/>
    <x v="6"/>
    <x v="3"/>
    <d v="2022-11-12T00:00:00"/>
    <x v="0"/>
    <n v="4640"/>
    <n v="9029"/>
    <n v="2.2000000000000002"/>
    <n v="49"/>
  </r>
  <r>
    <x v="93"/>
    <x v="93"/>
    <x v="2"/>
    <x v="1"/>
    <d v="2023-01-08T00:00:00"/>
    <x v="0"/>
    <n v="10193"/>
    <n v="2692"/>
    <n v="2.72"/>
    <n v="65"/>
  </r>
  <r>
    <x v="94"/>
    <x v="94"/>
    <x v="3"/>
    <x v="0"/>
    <d v="2024-01-02T00:00:00"/>
    <x v="1"/>
    <n v="8635"/>
    <n v="4086"/>
    <n v="3.63"/>
    <n v="15"/>
  </r>
  <r>
    <x v="95"/>
    <x v="95"/>
    <x v="5"/>
    <x v="3"/>
    <d v="2022-03-12T00:00:00"/>
    <x v="1"/>
    <n v="14890"/>
    <n v="2674"/>
    <n v="3.17"/>
    <n v="93"/>
  </r>
  <r>
    <x v="96"/>
    <x v="96"/>
    <x v="1"/>
    <x v="3"/>
    <d v="2022-03-10T00:00:00"/>
    <x v="0"/>
    <n v="4942"/>
    <n v="4382"/>
    <n v="3.43"/>
    <n v="39"/>
  </r>
  <r>
    <x v="97"/>
    <x v="97"/>
    <x v="4"/>
    <x v="0"/>
    <d v="2023-10-15T00:00:00"/>
    <x v="0"/>
    <n v="12134"/>
    <n v="838"/>
    <n v="3.48"/>
    <n v="20"/>
  </r>
  <r>
    <x v="98"/>
    <x v="98"/>
    <x v="5"/>
    <x v="0"/>
    <d v="2023-01-10T00:00:00"/>
    <x v="0"/>
    <n v="5970"/>
    <n v="5622"/>
    <n v="3.22"/>
    <n v="118"/>
  </r>
  <r>
    <x v="99"/>
    <x v="99"/>
    <x v="6"/>
    <x v="2"/>
    <d v="2023-10-01T00:00:00"/>
    <x v="0"/>
    <n v="4576"/>
    <n v="8102"/>
    <n v="2.91"/>
    <n v="111"/>
  </r>
  <r>
    <x v="100"/>
    <x v="100"/>
    <x v="6"/>
    <x v="3"/>
    <d v="2022-04-22T00:00:00"/>
    <x v="1"/>
    <n v="4673"/>
    <n v="5393"/>
    <n v="2.2799999999999998"/>
    <n v="35"/>
  </r>
  <r>
    <x v="101"/>
    <x v="101"/>
    <x v="2"/>
    <x v="2"/>
    <d v="2022-11-18T00:00:00"/>
    <x v="1"/>
    <n v="11777"/>
    <n v="5757"/>
    <n v="3.22"/>
    <n v="19"/>
  </r>
  <r>
    <x v="102"/>
    <x v="102"/>
    <x v="5"/>
    <x v="1"/>
    <d v="2024-05-03T00:00:00"/>
    <x v="0"/>
    <n v="3948"/>
    <n v="913"/>
    <n v="3.44"/>
    <n v="101"/>
  </r>
  <r>
    <x v="103"/>
    <x v="103"/>
    <x v="7"/>
    <x v="2"/>
    <d v="2023-08-12T00:00:00"/>
    <x v="1"/>
    <n v="3512"/>
    <n v="4473"/>
    <n v="2.92"/>
    <n v="63"/>
  </r>
  <r>
    <x v="104"/>
    <x v="104"/>
    <x v="1"/>
    <x v="2"/>
    <d v="2024-06-13T00:00:00"/>
    <x v="0"/>
    <n v="4717"/>
    <n v="7462"/>
    <n v="3.58"/>
    <n v="1"/>
  </r>
  <r>
    <x v="105"/>
    <x v="105"/>
    <x v="2"/>
    <x v="0"/>
    <d v="2023-06-15T00:00:00"/>
    <x v="2"/>
    <n v="2717"/>
    <n v="9601"/>
    <n v="2.14"/>
    <n v="11"/>
  </r>
  <r>
    <x v="106"/>
    <x v="106"/>
    <x v="1"/>
    <x v="2"/>
    <d v="2022-02-09T00:00:00"/>
    <x v="1"/>
    <n v="9160"/>
    <n v="3049"/>
    <n v="3.59"/>
    <n v="2"/>
  </r>
  <r>
    <x v="107"/>
    <x v="107"/>
    <x v="7"/>
    <x v="0"/>
    <d v="2023-04-03T00:00:00"/>
    <x v="0"/>
    <n v="3268"/>
    <n v="424"/>
    <n v="2.85"/>
    <n v="59"/>
  </r>
  <r>
    <x v="108"/>
    <x v="108"/>
    <x v="3"/>
    <x v="2"/>
    <d v="2023-01-06T00:00:00"/>
    <x v="0"/>
    <n v="4636"/>
    <n v="2544"/>
    <n v="3.31"/>
    <n v="60"/>
  </r>
  <r>
    <x v="109"/>
    <x v="109"/>
    <x v="4"/>
    <x v="2"/>
    <d v="2023-10-24T00:00:00"/>
    <x v="0"/>
    <n v="10654"/>
    <n v="4738"/>
    <n v="2.67"/>
    <n v="53"/>
  </r>
  <r>
    <x v="110"/>
    <x v="110"/>
    <x v="4"/>
    <x v="2"/>
    <d v="2023-04-20T00:00:00"/>
    <x v="0"/>
    <n v="9355"/>
    <n v="8250"/>
    <n v="3.02"/>
    <n v="92"/>
  </r>
  <r>
    <x v="111"/>
    <x v="111"/>
    <x v="5"/>
    <x v="1"/>
    <d v="2022-10-30T00:00:00"/>
    <x v="0"/>
    <n v="12309"/>
    <n v="1062"/>
    <n v="2.71"/>
    <n v="116"/>
  </r>
  <r>
    <x v="112"/>
    <x v="112"/>
    <x v="3"/>
    <x v="2"/>
    <d v="2024-02-11T00:00:00"/>
    <x v="0"/>
    <n v="8529"/>
    <n v="5629"/>
    <n v="3.62"/>
    <n v="95"/>
  </r>
  <r>
    <x v="113"/>
    <x v="113"/>
    <x v="0"/>
    <x v="3"/>
    <d v="2022-10-01T00:00:00"/>
    <x v="0"/>
    <n v="7580"/>
    <n v="7611"/>
    <n v="3.77"/>
    <n v="82"/>
  </r>
  <r>
    <x v="114"/>
    <x v="114"/>
    <x v="5"/>
    <x v="3"/>
    <d v="2022-02-02T00:00:00"/>
    <x v="0"/>
    <n v="4713"/>
    <n v="8232"/>
    <n v="2.87"/>
    <n v="98"/>
  </r>
  <r>
    <x v="115"/>
    <x v="115"/>
    <x v="0"/>
    <x v="1"/>
    <d v="2022-02-04T00:00:00"/>
    <x v="0"/>
    <n v="9304"/>
    <n v="1312"/>
    <n v="2.62"/>
    <n v="102"/>
  </r>
  <r>
    <x v="116"/>
    <x v="116"/>
    <x v="2"/>
    <x v="1"/>
    <d v="2024-03-18T00:00:00"/>
    <x v="0"/>
    <n v="2599"/>
    <n v="6425"/>
    <n v="3.62"/>
    <n v="5"/>
  </r>
  <r>
    <x v="117"/>
    <x v="117"/>
    <x v="1"/>
    <x v="3"/>
    <d v="2023-10-03T00:00:00"/>
    <x v="0"/>
    <n v="12572"/>
    <n v="8587"/>
    <n v="3.67"/>
    <n v="14"/>
  </r>
  <r>
    <x v="118"/>
    <x v="118"/>
    <x v="2"/>
    <x v="0"/>
    <d v="2024-02-28T00:00:00"/>
    <x v="0"/>
    <n v="10736"/>
    <n v="6508"/>
    <n v="2.48"/>
    <n v="21"/>
  </r>
  <r>
    <x v="119"/>
    <x v="119"/>
    <x v="6"/>
    <x v="2"/>
    <d v="2022-02-17T00:00:00"/>
    <x v="0"/>
    <n v="11349"/>
    <n v="8642"/>
    <n v="3.5"/>
    <n v="112"/>
  </r>
  <r>
    <x v="120"/>
    <x v="120"/>
    <x v="3"/>
    <x v="0"/>
    <d v="2023-07-11T00:00:00"/>
    <x v="0"/>
    <n v="2073"/>
    <n v="1993"/>
    <n v="3.62"/>
    <n v="0"/>
  </r>
  <r>
    <x v="121"/>
    <x v="121"/>
    <x v="3"/>
    <x v="2"/>
    <d v="2023-11-06T00:00:00"/>
    <x v="1"/>
    <n v="3742"/>
    <n v="4389"/>
    <n v="2.67"/>
    <n v="9"/>
  </r>
  <r>
    <x v="122"/>
    <x v="122"/>
    <x v="1"/>
    <x v="1"/>
    <d v="2024-01-08T00:00:00"/>
    <x v="0"/>
    <n v="5954"/>
    <n v="8075"/>
    <n v="2.82"/>
    <n v="57"/>
  </r>
  <r>
    <x v="123"/>
    <x v="123"/>
    <x v="1"/>
    <x v="0"/>
    <d v="2023-11-26T00:00:00"/>
    <x v="1"/>
    <n v="5513"/>
    <n v="1545"/>
    <n v="2.72"/>
    <n v="79"/>
  </r>
  <r>
    <x v="124"/>
    <x v="124"/>
    <x v="6"/>
    <x v="0"/>
    <d v="2024-03-13T00:00:00"/>
    <x v="1"/>
    <n v="9374"/>
    <n v="3980"/>
    <n v="3.9"/>
    <n v="92"/>
  </r>
  <r>
    <x v="125"/>
    <x v="125"/>
    <x v="6"/>
    <x v="3"/>
    <d v="2022-09-21T00:00:00"/>
    <x v="0"/>
    <n v="13694"/>
    <n v="5031"/>
    <n v="2.2400000000000002"/>
    <n v="42"/>
  </r>
  <r>
    <x v="126"/>
    <x v="126"/>
    <x v="4"/>
    <x v="3"/>
    <d v="2023-12-11T00:00:00"/>
    <x v="1"/>
    <n v="7401"/>
    <n v="5862"/>
    <n v="3.24"/>
    <n v="1"/>
  </r>
  <r>
    <x v="127"/>
    <x v="127"/>
    <x v="4"/>
    <x v="2"/>
    <d v="2024-03-28T00:00:00"/>
    <x v="0"/>
    <n v="10718"/>
    <n v="5162"/>
    <n v="3.21"/>
    <n v="32"/>
  </r>
  <r>
    <x v="128"/>
    <x v="128"/>
    <x v="5"/>
    <x v="2"/>
    <d v="2022-02-27T00:00:00"/>
    <x v="0"/>
    <n v="8809"/>
    <n v="7719"/>
    <n v="2.92"/>
    <n v="39"/>
  </r>
  <r>
    <x v="129"/>
    <x v="129"/>
    <x v="3"/>
    <x v="3"/>
    <d v="2023-04-21T00:00:00"/>
    <x v="2"/>
    <n v="5590"/>
    <n v="9943"/>
    <n v="2.37"/>
    <n v="4"/>
  </r>
  <r>
    <x v="130"/>
    <x v="130"/>
    <x v="5"/>
    <x v="2"/>
    <d v="2022-06-02T00:00:00"/>
    <x v="1"/>
    <n v="4728"/>
    <n v="2909"/>
    <n v="3.64"/>
    <n v="39"/>
  </r>
  <r>
    <x v="131"/>
    <x v="131"/>
    <x v="4"/>
    <x v="2"/>
    <d v="2022-05-08T00:00:00"/>
    <x v="1"/>
    <n v="9469"/>
    <n v="6841"/>
    <n v="2.94"/>
    <n v="53"/>
  </r>
  <r>
    <x v="132"/>
    <x v="132"/>
    <x v="7"/>
    <x v="3"/>
    <d v="2022-07-31T00:00:00"/>
    <x v="0"/>
    <n v="10140"/>
    <n v="8620"/>
    <n v="3.6"/>
    <n v="115"/>
  </r>
  <r>
    <x v="133"/>
    <x v="133"/>
    <x v="5"/>
    <x v="2"/>
    <d v="2024-01-16T00:00:00"/>
    <x v="0"/>
    <n v="9766"/>
    <n v="5059"/>
    <n v="3.41"/>
    <n v="56"/>
  </r>
  <r>
    <x v="134"/>
    <x v="134"/>
    <x v="2"/>
    <x v="2"/>
    <d v="2023-11-29T00:00:00"/>
    <x v="1"/>
    <n v="3860"/>
    <n v="8811"/>
    <n v="3.15"/>
    <n v="103"/>
  </r>
  <r>
    <x v="135"/>
    <x v="135"/>
    <x v="1"/>
    <x v="0"/>
    <d v="2023-07-02T00:00:00"/>
    <x v="1"/>
    <n v="7810"/>
    <n v="857"/>
    <n v="3.97"/>
    <n v="63"/>
  </r>
  <r>
    <x v="136"/>
    <x v="136"/>
    <x v="4"/>
    <x v="2"/>
    <d v="2024-03-13T00:00:00"/>
    <x v="2"/>
    <n v="2993"/>
    <n v="1240"/>
    <n v="3.79"/>
    <n v="111"/>
  </r>
  <r>
    <x v="137"/>
    <x v="137"/>
    <x v="4"/>
    <x v="1"/>
    <d v="2022-07-03T00:00:00"/>
    <x v="0"/>
    <n v="2004"/>
    <n v="965"/>
    <n v="3.84"/>
    <n v="87"/>
  </r>
  <r>
    <x v="138"/>
    <x v="138"/>
    <x v="7"/>
    <x v="0"/>
    <d v="2022-07-14T00:00:00"/>
    <x v="2"/>
    <n v="8745"/>
    <n v="7279"/>
    <n v="2.97"/>
    <n v="31"/>
  </r>
  <r>
    <x v="139"/>
    <x v="139"/>
    <x v="5"/>
    <x v="1"/>
    <d v="2022-03-11T00:00:00"/>
    <x v="0"/>
    <n v="13687"/>
    <n v="366"/>
    <n v="3.07"/>
    <n v="39"/>
  </r>
  <r>
    <x v="140"/>
    <x v="140"/>
    <x v="6"/>
    <x v="0"/>
    <d v="2022-07-24T00:00:00"/>
    <x v="0"/>
    <n v="14018"/>
    <n v="463"/>
    <n v="2.0699999999999998"/>
    <n v="33"/>
  </r>
  <r>
    <x v="141"/>
    <x v="141"/>
    <x v="7"/>
    <x v="2"/>
    <d v="2022-10-07T00:00:00"/>
    <x v="0"/>
    <n v="9817"/>
    <n v="5564"/>
    <n v="2.57"/>
    <n v="48"/>
  </r>
  <r>
    <x v="142"/>
    <x v="142"/>
    <x v="4"/>
    <x v="0"/>
    <d v="2023-03-15T00:00:00"/>
    <x v="1"/>
    <n v="13150"/>
    <n v="5003"/>
    <n v="2.38"/>
    <n v="87"/>
  </r>
  <r>
    <x v="143"/>
    <x v="143"/>
    <x v="4"/>
    <x v="0"/>
    <d v="2023-07-16T00:00:00"/>
    <x v="1"/>
    <n v="14774"/>
    <n v="3722"/>
    <n v="3.78"/>
    <n v="106"/>
  </r>
  <r>
    <x v="144"/>
    <x v="144"/>
    <x v="5"/>
    <x v="2"/>
    <d v="2024-03-17T00:00:00"/>
    <x v="0"/>
    <n v="5340"/>
    <n v="8997"/>
    <n v="2.54"/>
    <n v="59"/>
  </r>
  <r>
    <x v="145"/>
    <x v="145"/>
    <x v="2"/>
    <x v="2"/>
    <d v="2022-01-18T00:00:00"/>
    <x v="1"/>
    <n v="12094"/>
    <n v="3403"/>
    <n v="2.27"/>
    <n v="69"/>
  </r>
  <r>
    <x v="146"/>
    <x v="146"/>
    <x v="6"/>
    <x v="0"/>
    <d v="2023-03-29T00:00:00"/>
    <x v="0"/>
    <n v="14344"/>
    <n v="1358"/>
    <n v="3.34"/>
    <n v="3"/>
  </r>
  <r>
    <x v="147"/>
    <x v="147"/>
    <x v="6"/>
    <x v="1"/>
    <d v="2022-08-21T00:00:00"/>
    <x v="0"/>
    <n v="7247"/>
    <n v="6919"/>
    <n v="2.27"/>
    <n v="109"/>
  </r>
  <r>
    <x v="148"/>
    <x v="148"/>
    <x v="5"/>
    <x v="3"/>
    <d v="2023-07-31T00:00:00"/>
    <x v="0"/>
    <n v="8141"/>
    <n v="427"/>
    <n v="2.17"/>
    <n v="113"/>
  </r>
  <r>
    <x v="149"/>
    <x v="149"/>
    <x v="6"/>
    <x v="3"/>
    <d v="2022-05-15T00:00:00"/>
    <x v="0"/>
    <n v="9809"/>
    <n v="8641"/>
    <n v="2.4"/>
    <n v="87"/>
  </r>
  <r>
    <x v="150"/>
    <x v="150"/>
    <x v="1"/>
    <x v="1"/>
    <d v="2022-10-04T00:00:00"/>
    <x v="0"/>
    <n v="10454"/>
    <n v="3317"/>
    <n v="2.06"/>
    <n v="29"/>
  </r>
  <r>
    <x v="151"/>
    <x v="151"/>
    <x v="6"/>
    <x v="1"/>
    <d v="2023-08-26T00:00:00"/>
    <x v="0"/>
    <n v="10121"/>
    <n v="466"/>
    <n v="2.3199999999999998"/>
    <n v="90"/>
  </r>
  <r>
    <x v="152"/>
    <x v="152"/>
    <x v="5"/>
    <x v="2"/>
    <d v="2024-05-28T00:00:00"/>
    <x v="0"/>
    <n v="4736"/>
    <n v="3962"/>
    <n v="3.01"/>
    <n v="17"/>
  </r>
  <r>
    <x v="153"/>
    <x v="153"/>
    <x v="4"/>
    <x v="2"/>
    <d v="2022-02-26T00:00:00"/>
    <x v="2"/>
    <n v="9014"/>
    <n v="3013"/>
    <n v="2.99"/>
    <n v="45"/>
  </r>
  <r>
    <x v="154"/>
    <x v="154"/>
    <x v="0"/>
    <x v="1"/>
    <d v="2024-06-16T00:00:00"/>
    <x v="0"/>
    <n v="2715"/>
    <n v="5649"/>
    <n v="3.53"/>
    <n v="0"/>
  </r>
  <r>
    <x v="155"/>
    <x v="155"/>
    <x v="0"/>
    <x v="1"/>
    <d v="2023-03-15T00:00:00"/>
    <x v="0"/>
    <n v="13742"/>
    <n v="7678"/>
    <n v="2.35"/>
    <n v="38"/>
  </r>
  <r>
    <x v="156"/>
    <x v="156"/>
    <x v="5"/>
    <x v="3"/>
    <d v="2022-05-12T00:00:00"/>
    <x v="1"/>
    <n v="3617"/>
    <n v="3075"/>
    <n v="2.81"/>
    <n v="5"/>
  </r>
  <r>
    <x v="157"/>
    <x v="157"/>
    <x v="0"/>
    <x v="2"/>
    <d v="2022-05-25T00:00:00"/>
    <x v="1"/>
    <n v="13091"/>
    <n v="8135"/>
    <n v="3.49"/>
    <n v="0"/>
  </r>
  <r>
    <x v="158"/>
    <x v="158"/>
    <x v="4"/>
    <x v="1"/>
    <d v="2024-02-26T00:00:00"/>
    <x v="2"/>
    <n v="11936"/>
    <n v="8739"/>
    <n v="2.5299999999999998"/>
    <n v="93"/>
  </r>
  <r>
    <x v="159"/>
    <x v="159"/>
    <x v="0"/>
    <x v="0"/>
    <d v="2022-02-13T00:00:00"/>
    <x v="0"/>
    <n v="14162"/>
    <n v="7133"/>
    <n v="3.75"/>
    <n v="115"/>
  </r>
  <r>
    <x v="160"/>
    <x v="160"/>
    <x v="4"/>
    <x v="0"/>
    <d v="2022-01-18T00:00:00"/>
    <x v="0"/>
    <n v="12730"/>
    <n v="8258"/>
    <n v="3.22"/>
    <n v="99"/>
  </r>
  <r>
    <x v="161"/>
    <x v="161"/>
    <x v="7"/>
    <x v="1"/>
    <d v="2023-10-14T00:00:00"/>
    <x v="1"/>
    <n v="12837"/>
    <n v="3765"/>
    <n v="3.52"/>
    <n v="105"/>
  </r>
  <r>
    <x v="162"/>
    <x v="162"/>
    <x v="4"/>
    <x v="2"/>
    <d v="2023-04-09T00:00:00"/>
    <x v="2"/>
    <n v="6301"/>
    <n v="527"/>
    <n v="3.23"/>
    <n v="117"/>
  </r>
  <r>
    <x v="163"/>
    <x v="163"/>
    <x v="5"/>
    <x v="2"/>
    <d v="2022-05-25T00:00:00"/>
    <x v="0"/>
    <n v="12857"/>
    <n v="2010"/>
    <n v="2.76"/>
    <n v="4"/>
  </r>
  <r>
    <x v="164"/>
    <x v="164"/>
    <x v="3"/>
    <x v="0"/>
    <d v="2022-08-30T00:00:00"/>
    <x v="0"/>
    <n v="10432"/>
    <n v="8752"/>
    <n v="3.08"/>
    <n v="77"/>
  </r>
  <r>
    <x v="165"/>
    <x v="165"/>
    <x v="3"/>
    <x v="1"/>
    <d v="2022-10-04T00:00:00"/>
    <x v="1"/>
    <n v="11825"/>
    <n v="9226"/>
    <n v="3.93"/>
    <n v="43"/>
  </r>
  <r>
    <x v="166"/>
    <x v="166"/>
    <x v="1"/>
    <x v="3"/>
    <d v="2023-12-02T00:00:00"/>
    <x v="0"/>
    <n v="3474"/>
    <n v="3909"/>
    <n v="3.89"/>
    <n v="111"/>
  </r>
  <r>
    <x v="167"/>
    <x v="167"/>
    <x v="2"/>
    <x v="0"/>
    <d v="2022-01-22T00:00:00"/>
    <x v="1"/>
    <n v="14567"/>
    <n v="6117"/>
    <n v="2.2400000000000002"/>
    <n v="9"/>
  </r>
  <r>
    <x v="168"/>
    <x v="168"/>
    <x v="6"/>
    <x v="2"/>
    <d v="2023-01-07T00:00:00"/>
    <x v="0"/>
    <n v="12381"/>
    <n v="5712"/>
    <n v="2.57"/>
    <n v="104"/>
  </r>
  <r>
    <x v="169"/>
    <x v="169"/>
    <x v="1"/>
    <x v="1"/>
    <d v="2024-04-04T00:00:00"/>
    <x v="0"/>
    <n v="14324"/>
    <n v="3842"/>
    <n v="3.29"/>
    <n v="36"/>
  </r>
  <r>
    <x v="170"/>
    <x v="170"/>
    <x v="4"/>
    <x v="3"/>
    <d v="2023-09-19T00:00:00"/>
    <x v="0"/>
    <n v="12649"/>
    <n v="5633"/>
    <n v="2.2999999999999998"/>
    <n v="77"/>
  </r>
  <r>
    <x v="171"/>
    <x v="171"/>
    <x v="3"/>
    <x v="0"/>
    <d v="2023-12-22T00:00:00"/>
    <x v="1"/>
    <n v="14074"/>
    <n v="6861"/>
    <n v="3.43"/>
    <n v="82"/>
  </r>
  <r>
    <x v="172"/>
    <x v="172"/>
    <x v="0"/>
    <x v="3"/>
    <d v="2024-02-05T00:00:00"/>
    <x v="1"/>
    <n v="3427"/>
    <n v="4126"/>
    <n v="3.35"/>
    <n v="24"/>
  </r>
  <r>
    <x v="173"/>
    <x v="173"/>
    <x v="1"/>
    <x v="0"/>
    <d v="2022-01-27T00:00:00"/>
    <x v="0"/>
    <n v="12397"/>
    <n v="1786"/>
    <n v="3.54"/>
    <n v="60"/>
  </r>
  <r>
    <x v="174"/>
    <x v="174"/>
    <x v="3"/>
    <x v="1"/>
    <d v="2022-04-17T00:00:00"/>
    <x v="2"/>
    <n v="6795"/>
    <n v="8202"/>
    <n v="2.66"/>
    <n v="64"/>
  </r>
  <r>
    <x v="175"/>
    <x v="175"/>
    <x v="4"/>
    <x v="3"/>
    <d v="2022-05-19T00:00:00"/>
    <x v="1"/>
    <n v="8638"/>
    <n v="9153"/>
    <n v="3.5"/>
    <n v="113"/>
  </r>
  <r>
    <x v="176"/>
    <x v="176"/>
    <x v="1"/>
    <x v="1"/>
    <d v="2023-01-30T00:00:00"/>
    <x v="2"/>
    <n v="7115"/>
    <n v="4495"/>
    <n v="2.46"/>
    <n v="113"/>
  </r>
  <r>
    <x v="177"/>
    <x v="177"/>
    <x v="7"/>
    <x v="3"/>
    <d v="2022-07-03T00:00:00"/>
    <x v="1"/>
    <n v="9350"/>
    <n v="9475"/>
    <n v="2.27"/>
    <n v="42"/>
  </r>
  <r>
    <x v="178"/>
    <x v="178"/>
    <x v="4"/>
    <x v="3"/>
    <d v="2023-11-11T00:00:00"/>
    <x v="0"/>
    <n v="9814"/>
    <n v="5383"/>
    <n v="3.3"/>
    <n v="26"/>
  </r>
  <r>
    <x v="179"/>
    <x v="179"/>
    <x v="5"/>
    <x v="1"/>
    <d v="2024-03-27T00:00:00"/>
    <x v="1"/>
    <n v="3206"/>
    <n v="3995"/>
    <n v="2.2200000000000002"/>
    <n v="76"/>
  </r>
  <r>
    <x v="180"/>
    <x v="180"/>
    <x v="3"/>
    <x v="1"/>
    <d v="2023-10-08T00:00:00"/>
    <x v="0"/>
    <n v="3198"/>
    <n v="3690"/>
    <n v="2.64"/>
    <n v="69"/>
  </r>
  <r>
    <x v="181"/>
    <x v="181"/>
    <x v="5"/>
    <x v="1"/>
    <d v="2022-07-19T00:00:00"/>
    <x v="0"/>
    <n v="2972"/>
    <n v="2721"/>
    <n v="3.6"/>
    <n v="24"/>
  </r>
  <r>
    <x v="182"/>
    <x v="182"/>
    <x v="1"/>
    <x v="0"/>
    <d v="2024-02-05T00:00:00"/>
    <x v="0"/>
    <n v="8985"/>
    <n v="1826"/>
    <n v="2.1"/>
    <n v="9"/>
  </r>
  <r>
    <x v="183"/>
    <x v="183"/>
    <x v="4"/>
    <x v="0"/>
    <d v="2023-01-08T00:00:00"/>
    <x v="0"/>
    <n v="8434"/>
    <n v="5655"/>
    <n v="3.62"/>
    <n v="50"/>
  </r>
  <r>
    <x v="184"/>
    <x v="184"/>
    <x v="7"/>
    <x v="0"/>
    <d v="2024-04-07T00:00:00"/>
    <x v="2"/>
    <n v="8637"/>
    <n v="6872"/>
    <n v="2.02"/>
    <n v="2"/>
  </r>
  <r>
    <x v="185"/>
    <x v="185"/>
    <x v="2"/>
    <x v="0"/>
    <d v="2022-01-21T00:00:00"/>
    <x v="0"/>
    <n v="7498"/>
    <n v="3801"/>
    <n v="2.66"/>
    <n v="61"/>
  </r>
  <r>
    <x v="186"/>
    <x v="186"/>
    <x v="6"/>
    <x v="0"/>
    <d v="2022-08-24T00:00:00"/>
    <x v="0"/>
    <n v="8592"/>
    <n v="2399"/>
    <n v="2.95"/>
    <n v="113"/>
  </r>
  <r>
    <x v="187"/>
    <x v="187"/>
    <x v="0"/>
    <x v="1"/>
    <d v="2023-01-09T00:00:00"/>
    <x v="0"/>
    <n v="13019"/>
    <n v="9320"/>
    <n v="3.4"/>
    <n v="5"/>
  </r>
  <r>
    <x v="188"/>
    <x v="188"/>
    <x v="4"/>
    <x v="3"/>
    <d v="2024-02-11T00:00:00"/>
    <x v="0"/>
    <n v="4919"/>
    <n v="1822"/>
    <n v="2.46"/>
    <n v="38"/>
  </r>
  <r>
    <x v="189"/>
    <x v="189"/>
    <x v="1"/>
    <x v="3"/>
    <d v="2023-04-22T00:00:00"/>
    <x v="0"/>
    <n v="2581"/>
    <n v="8966"/>
    <n v="3.75"/>
    <n v="22"/>
  </r>
  <r>
    <x v="190"/>
    <x v="190"/>
    <x v="6"/>
    <x v="2"/>
    <d v="2023-03-15T00:00:00"/>
    <x v="0"/>
    <n v="7675"/>
    <n v="2892"/>
    <n v="3.24"/>
    <n v="62"/>
  </r>
  <r>
    <x v="191"/>
    <x v="191"/>
    <x v="4"/>
    <x v="1"/>
    <d v="2023-04-20T00:00:00"/>
    <x v="0"/>
    <n v="3222"/>
    <n v="2025"/>
    <n v="2.38"/>
    <n v="6"/>
  </r>
  <r>
    <x v="192"/>
    <x v="192"/>
    <x v="1"/>
    <x v="1"/>
    <d v="2022-02-14T00:00:00"/>
    <x v="0"/>
    <n v="14952"/>
    <n v="2236"/>
    <n v="2.34"/>
    <n v="77"/>
  </r>
  <r>
    <x v="193"/>
    <x v="193"/>
    <x v="1"/>
    <x v="0"/>
    <d v="2022-04-27T00:00:00"/>
    <x v="0"/>
    <n v="2577"/>
    <n v="8811"/>
    <n v="3.43"/>
    <n v="99"/>
  </r>
  <r>
    <x v="194"/>
    <x v="194"/>
    <x v="7"/>
    <x v="2"/>
    <d v="2022-10-27T00:00:00"/>
    <x v="2"/>
    <n v="8254"/>
    <n v="1754"/>
    <n v="3.3"/>
    <n v="97"/>
  </r>
  <r>
    <x v="195"/>
    <x v="195"/>
    <x v="5"/>
    <x v="2"/>
    <d v="2024-03-17T00:00:00"/>
    <x v="2"/>
    <n v="3770"/>
    <n v="4072"/>
    <n v="2.73"/>
    <n v="23"/>
  </r>
  <r>
    <x v="196"/>
    <x v="196"/>
    <x v="2"/>
    <x v="1"/>
    <d v="2022-02-21T00:00:00"/>
    <x v="0"/>
    <n v="8294"/>
    <n v="3336"/>
    <n v="2.5099999999999998"/>
    <n v="80"/>
  </r>
  <r>
    <x v="197"/>
    <x v="197"/>
    <x v="4"/>
    <x v="2"/>
    <d v="2022-04-29T00:00:00"/>
    <x v="0"/>
    <n v="11110"/>
    <n v="5912"/>
    <n v="2.83"/>
    <n v="93"/>
  </r>
  <r>
    <x v="198"/>
    <x v="198"/>
    <x v="4"/>
    <x v="3"/>
    <d v="2023-04-15T00:00:00"/>
    <x v="0"/>
    <n v="4826"/>
    <n v="9578"/>
    <n v="3.3"/>
    <n v="48"/>
  </r>
  <r>
    <x v="199"/>
    <x v="199"/>
    <x v="3"/>
    <x v="3"/>
    <d v="2022-01-08T00:00:00"/>
    <x v="0"/>
    <n v="9328"/>
    <n v="5482"/>
    <n v="2.5099999999999998"/>
    <n v="78"/>
  </r>
  <r>
    <x v="200"/>
    <x v="200"/>
    <x v="2"/>
    <x v="3"/>
    <d v="2023-11-03T00:00:00"/>
    <x v="1"/>
    <n v="10414"/>
    <n v="3254"/>
    <n v="2.36"/>
    <n v="48"/>
  </r>
  <r>
    <x v="201"/>
    <x v="201"/>
    <x v="6"/>
    <x v="3"/>
    <d v="2022-09-09T00:00:00"/>
    <x v="0"/>
    <n v="5868"/>
    <n v="3160"/>
    <n v="3.33"/>
    <n v="47"/>
  </r>
  <r>
    <x v="202"/>
    <x v="202"/>
    <x v="3"/>
    <x v="0"/>
    <d v="2023-05-10T00:00:00"/>
    <x v="0"/>
    <n v="13500"/>
    <n v="3151"/>
    <n v="2.34"/>
    <n v="114"/>
  </r>
  <r>
    <x v="203"/>
    <x v="203"/>
    <x v="2"/>
    <x v="2"/>
    <d v="2022-11-30T00:00:00"/>
    <x v="0"/>
    <n v="5931"/>
    <n v="8777"/>
    <n v="3.86"/>
    <n v="31"/>
  </r>
  <r>
    <x v="204"/>
    <x v="204"/>
    <x v="0"/>
    <x v="1"/>
    <d v="2024-06-11T00:00:00"/>
    <x v="1"/>
    <n v="9066"/>
    <n v="7848"/>
    <n v="2.21"/>
    <n v="26"/>
  </r>
  <r>
    <x v="205"/>
    <x v="205"/>
    <x v="1"/>
    <x v="0"/>
    <d v="2022-06-18T00:00:00"/>
    <x v="0"/>
    <n v="7462"/>
    <n v="1641"/>
    <n v="3.01"/>
    <n v="72"/>
  </r>
  <r>
    <x v="206"/>
    <x v="206"/>
    <x v="4"/>
    <x v="3"/>
    <d v="2023-08-25T00:00:00"/>
    <x v="0"/>
    <n v="13915"/>
    <n v="3698"/>
    <n v="3"/>
    <n v="79"/>
  </r>
  <r>
    <x v="207"/>
    <x v="207"/>
    <x v="2"/>
    <x v="3"/>
    <d v="2022-05-02T00:00:00"/>
    <x v="1"/>
    <n v="10682"/>
    <n v="3998"/>
    <n v="2.58"/>
    <n v="34"/>
  </r>
  <r>
    <x v="208"/>
    <x v="208"/>
    <x v="2"/>
    <x v="0"/>
    <d v="2022-01-04T00:00:00"/>
    <x v="0"/>
    <n v="7804"/>
    <n v="1458"/>
    <n v="3.63"/>
    <n v="68"/>
  </r>
  <r>
    <x v="209"/>
    <x v="209"/>
    <x v="5"/>
    <x v="0"/>
    <d v="2024-05-21T00:00:00"/>
    <x v="1"/>
    <n v="14208"/>
    <n v="1610"/>
    <n v="2.4"/>
    <n v="64"/>
  </r>
  <r>
    <x v="210"/>
    <x v="210"/>
    <x v="2"/>
    <x v="1"/>
    <d v="2024-04-18T00:00:00"/>
    <x v="2"/>
    <n v="10912"/>
    <n v="7036"/>
    <n v="2.34"/>
    <n v="43"/>
  </r>
  <r>
    <x v="211"/>
    <x v="211"/>
    <x v="1"/>
    <x v="0"/>
    <d v="2023-11-01T00:00:00"/>
    <x v="0"/>
    <n v="4292"/>
    <n v="5770"/>
    <n v="3.5"/>
    <n v="96"/>
  </r>
  <r>
    <x v="212"/>
    <x v="212"/>
    <x v="4"/>
    <x v="2"/>
    <d v="2023-11-15T00:00:00"/>
    <x v="1"/>
    <n v="13557"/>
    <n v="7162"/>
    <n v="2.0299999999999998"/>
    <n v="111"/>
  </r>
  <r>
    <x v="213"/>
    <x v="213"/>
    <x v="1"/>
    <x v="3"/>
    <d v="2023-09-06T00:00:00"/>
    <x v="1"/>
    <n v="9626"/>
    <n v="5195"/>
    <n v="3.38"/>
    <n v="17"/>
  </r>
  <r>
    <x v="214"/>
    <x v="214"/>
    <x v="0"/>
    <x v="0"/>
    <d v="2023-08-19T00:00:00"/>
    <x v="0"/>
    <n v="13924"/>
    <n v="919"/>
    <n v="2.89"/>
    <n v="108"/>
  </r>
  <r>
    <x v="215"/>
    <x v="215"/>
    <x v="1"/>
    <x v="3"/>
    <d v="2022-08-29T00:00:00"/>
    <x v="0"/>
    <n v="11491"/>
    <n v="8965"/>
    <n v="2.95"/>
    <n v="5"/>
  </r>
  <r>
    <x v="216"/>
    <x v="216"/>
    <x v="7"/>
    <x v="1"/>
    <d v="2024-04-06T00:00:00"/>
    <x v="0"/>
    <n v="3781"/>
    <n v="4601"/>
    <n v="3.36"/>
    <n v="6"/>
  </r>
  <r>
    <x v="217"/>
    <x v="217"/>
    <x v="1"/>
    <x v="3"/>
    <d v="2023-11-22T00:00:00"/>
    <x v="1"/>
    <n v="12986"/>
    <n v="7952"/>
    <n v="2.85"/>
    <n v="90"/>
  </r>
  <r>
    <x v="218"/>
    <x v="218"/>
    <x v="7"/>
    <x v="0"/>
    <d v="2022-06-07T00:00:00"/>
    <x v="0"/>
    <n v="5785"/>
    <n v="8652"/>
    <n v="3.75"/>
    <n v="96"/>
  </r>
  <r>
    <x v="219"/>
    <x v="219"/>
    <x v="1"/>
    <x v="3"/>
    <d v="2022-12-29T00:00:00"/>
    <x v="0"/>
    <n v="6786"/>
    <n v="6481"/>
    <n v="2.57"/>
    <n v="28"/>
  </r>
  <r>
    <x v="220"/>
    <x v="220"/>
    <x v="4"/>
    <x v="2"/>
    <d v="2022-10-09T00:00:00"/>
    <x v="0"/>
    <n v="6615"/>
    <n v="199"/>
    <n v="2.04"/>
    <n v="38"/>
  </r>
  <r>
    <x v="221"/>
    <x v="221"/>
    <x v="6"/>
    <x v="1"/>
    <d v="2024-06-06T00:00:00"/>
    <x v="0"/>
    <n v="9625"/>
    <n v="8374"/>
    <n v="3.69"/>
    <n v="6"/>
  </r>
  <r>
    <x v="222"/>
    <x v="222"/>
    <x v="7"/>
    <x v="3"/>
    <d v="2023-09-23T00:00:00"/>
    <x v="0"/>
    <n v="13304"/>
    <n v="6463"/>
    <n v="3.24"/>
    <n v="96"/>
  </r>
  <r>
    <x v="223"/>
    <x v="223"/>
    <x v="6"/>
    <x v="0"/>
    <d v="2023-07-09T00:00:00"/>
    <x v="0"/>
    <n v="4559"/>
    <n v="385"/>
    <n v="3.67"/>
    <n v="105"/>
  </r>
  <r>
    <x v="224"/>
    <x v="224"/>
    <x v="7"/>
    <x v="2"/>
    <d v="2022-08-04T00:00:00"/>
    <x v="0"/>
    <n v="4418"/>
    <n v="295"/>
    <n v="2.12"/>
    <n v="65"/>
  </r>
  <r>
    <x v="225"/>
    <x v="225"/>
    <x v="4"/>
    <x v="1"/>
    <d v="2022-10-08T00:00:00"/>
    <x v="0"/>
    <n v="11433"/>
    <n v="5463"/>
    <n v="2.87"/>
    <n v="55"/>
  </r>
  <r>
    <x v="226"/>
    <x v="226"/>
    <x v="4"/>
    <x v="3"/>
    <d v="2023-08-11T00:00:00"/>
    <x v="0"/>
    <n v="10920"/>
    <n v="1855"/>
    <n v="2.5299999999999998"/>
    <n v="35"/>
  </r>
  <r>
    <x v="227"/>
    <x v="227"/>
    <x v="5"/>
    <x v="0"/>
    <d v="2022-03-24T00:00:00"/>
    <x v="1"/>
    <n v="7532"/>
    <n v="5770"/>
    <n v="2.84"/>
    <n v="53"/>
  </r>
  <r>
    <x v="228"/>
    <x v="228"/>
    <x v="4"/>
    <x v="3"/>
    <d v="2023-10-27T00:00:00"/>
    <x v="0"/>
    <n v="4365"/>
    <n v="9361"/>
    <n v="3.09"/>
    <n v="24"/>
  </r>
  <r>
    <x v="229"/>
    <x v="229"/>
    <x v="6"/>
    <x v="0"/>
    <d v="2022-01-07T00:00:00"/>
    <x v="1"/>
    <n v="8437"/>
    <n v="5207"/>
    <n v="2.61"/>
    <n v="78"/>
  </r>
  <r>
    <x v="230"/>
    <x v="230"/>
    <x v="6"/>
    <x v="3"/>
    <d v="2023-02-28T00:00:00"/>
    <x v="0"/>
    <n v="8696"/>
    <n v="684"/>
    <n v="2.88"/>
    <n v="83"/>
  </r>
  <r>
    <x v="231"/>
    <x v="231"/>
    <x v="2"/>
    <x v="3"/>
    <d v="2022-05-01T00:00:00"/>
    <x v="1"/>
    <n v="11639"/>
    <n v="4226"/>
    <n v="3.24"/>
    <n v="43"/>
  </r>
  <r>
    <x v="232"/>
    <x v="232"/>
    <x v="4"/>
    <x v="1"/>
    <d v="2023-12-20T00:00:00"/>
    <x v="1"/>
    <n v="14104"/>
    <n v="7961"/>
    <n v="3.12"/>
    <n v="119"/>
  </r>
  <r>
    <x v="233"/>
    <x v="233"/>
    <x v="3"/>
    <x v="1"/>
    <d v="2023-09-12T00:00:00"/>
    <x v="2"/>
    <n v="8577"/>
    <n v="1188"/>
    <n v="2.21"/>
    <n v="47"/>
  </r>
  <r>
    <x v="234"/>
    <x v="234"/>
    <x v="3"/>
    <x v="0"/>
    <d v="2023-01-29T00:00:00"/>
    <x v="1"/>
    <n v="9465"/>
    <n v="4415"/>
    <n v="2.44"/>
    <n v="62"/>
  </r>
  <r>
    <x v="235"/>
    <x v="235"/>
    <x v="7"/>
    <x v="0"/>
    <d v="2022-06-24T00:00:00"/>
    <x v="0"/>
    <n v="11825"/>
    <n v="1060"/>
    <n v="2.14"/>
    <n v="90"/>
  </r>
  <r>
    <x v="236"/>
    <x v="236"/>
    <x v="7"/>
    <x v="3"/>
    <d v="2023-12-08T00:00:00"/>
    <x v="0"/>
    <n v="12026"/>
    <n v="5856"/>
    <n v="3.64"/>
    <n v="15"/>
  </r>
  <r>
    <x v="237"/>
    <x v="237"/>
    <x v="5"/>
    <x v="0"/>
    <d v="2023-05-09T00:00:00"/>
    <x v="0"/>
    <n v="12137"/>
    <n v="8974"/>
    <n v="3.33"/>
    <n v="59"/>
  </r>
  <r>
    <x v="238"/>
    <x v="238"/>
    <x v="6"/>
    <x v="1"/>
    <d v="2024-01-25T00:00:00"/>
    <x v="0"/>
    <n v="13153"/>
    <n v="7899"/>
    <n v="3.35"/>
    <n v="4"/>
  </r>
  <r>
    <x v="239"/>
    <x v="239"/>
    <x v="6"/>
    <x v="2"/>
    <d v="2024-03-26T00:00:00"/>
    <x v="0"/>
    <n v="8445"/>
    <n v="5645"/>
    <n v="2.66"/>
    <n v="106"/>
  </r>
  <r>
    <x v="240"/>
    <x v="240"/>
    <x v="3"/>
    <x v="3"/>
    <d v="2022-10-13T00:00:00"/>
    <x v="1"/>
    <n v="6582"/>
    <n v="7383"/>
    <n v="2.9"/>
    <n v="68"/>
  </r>
  <r>
    <x v="241"/>
    <x v="241"/>
    <x v="5"/>
    <x v="3"/>
    <d v="2023-04-10T00:00:00"/>
    <x v="1"/>
    <n v="9924"/>
    <n v="4822"/>
    <n v="2.79"/>
    <n v="25"/>
  </r>
  <r>
    <x v="242"/>
    <x v="242"/>
    <x v="5"/>
    <x v="0"/>
    <d v="2024-01-01T00:00:00"/>
    <x v="1"/>
    <n v="9436"/>
    <n v="3767"/>
    <n v="2.27"/>
    <n v="69"/>
  </r>
  <r>
    <x v="243"/>
    <x v="243"/>
    <x v="4"/>
    <x v="2"/>
    <d v="2023-02-25T00:00:00"/>
    <x v="0"/>
    <n v="11021"/>
    <n v="1197"/>
    <n v="2.08"/>
    <n v="13"/>
  </r>
  <r>
    <x v="244"/>
    <x v="244"/>
    <x v="1"/>
    <x v="3"/>
    <d v="2023-08-09T00:00:00"/>
    <x v="2"/>
    <n v="5204"/>
    <n v="3851"/>
    <n v="2.2799999999999998"/>
    <n v="29"/>
  </r>
  <r>
    <x v="245"/>
    <x v="245"/>
    <x v="1"/>
    <x v="3"/>
    <d v="2024-05-11T00:00:00"/>
    <x v="0"/>
    <n v="2031"/>
    <n v="9223"/>
    <n v="2.78"/>
    <n v="49"/>
  </r>
  <r>
    <x v="246"/>
    <x v="246"/>
    <x v="5"/>
    <x v="3"/>
    <d v="2024-02-12T00:00:00"/>
    <x v="0"/>
    <n v="9136"/>
    <n v="9130"/>
    <n v="2.15"/>
    <n v="53"/>
  </r>
  <r>
    <x v="247"/>
    <x v="247"/>
    <x v="4"/>
    <x v="3"/>
    <d v="2022-11-29T00:00:00"/>
    <x v="0"/>
    <n v="7624"/>
    <n v="2182"/>
    <n v="2.35"/>
    <n v="21"/>
  </r>
  <r>
    <x v="248"/>
    <x v="248"/>
    <x v="6"/>
    <x v="1"/>
    <d v="2023-07-30T00:00:00"/>
    <x v="0"/>
    <n v="14896"/>
    <n v="7193"/>
    <n v="2.99"/>
    <n v="19"/>
  </r>
  <r>
    <x v="249"/>
    <x v="249"/>
    <x v="2"/>
    <x v="1"/>
    <d v="2023-01-16T00:00:00"/>
    <x v="0"/>
    <n v="9944"/>
    <n v="1801"/>
    <n v="2.2000000000000002"/>
    <n v="74"/>
  </r>
  <r>
    <x v="250"/>
    <x v="250"/>
    <x v="0"/>
    <x v="3"/>
    <d v="2024-04-09T00:00:00"/>
    <x v="0"/>
    <n v="4101"/>
    <n v="6124"/>
    <n v="2.59"/>
    <n v="77"/>
  </r>
  <r>
    <x v="251"/>
    <x v="251"/>
    <x v="4"/>
    <x v="0"/>
    <d v="2023-03-31T00:00:00"/>
    <x v="0"/>
    <n v="2923"/>
    <n v="6728"/>
    <n v="3.9"/>
    <n v="116"/>
  </r>
  <r>
    <x v="252"/>
    <x v="252"/>
    <x v="0"/>
    <x v="2"/>
    <d v="2022-06-13T00:00:00"/>
    <x v="0"/>
    <n v="6135"/>
    <n v="4716"/>
    <n v="2.1800000000000002"/>
    <n v="52"/>
  </r>
  <r>
    <x v="253"/>
    <x v="253"/>
    <x v="6"/>
    <x v="3"/>
    <d v="2023-06-07T00:00:00"/>
    <x v="2"/>
    <n v="5429"/>
    <n v="7603"/>
    <n v="2.35"/>
    <n v="18"/>
  </r>
  <r>
    <x v="254"/>
    <x v="254"/>
    <x v="4"/>
    <x v="3"/>
    <d v="2024-02-18T00:00:00"/>
    <x v="0"/>
    <n v="9722"/>
    <n v="9487"/>
    <n v="3.38"/>
    <n v="35"/>
  </r>
  <r>
    <x v="255"/>
    <x v="255"/>
    <x v="0"/>
    <x v="2"/>
    <d v="2022-01-24T00:00:00"/>
    <x v="0"/>
    <n v="8231"/>
    <n v="7185"/>
    <n v="2.23"/>
    <n v="106"/>
  </r>
  <r>
    <x v="256"/>
    <x v="256"/>
    <x v="3"/>
    <x v="0"/>
    <d v="2023-09-20T00:00:00"/>
    <x v="0"/>
    <n v="6740"/>
    <n v="1446"/>
    <n v="3.06"/>
    <n v="88"/>
  </r>
  <r>
    <x v="257"/>
    <x v="257"/>
    <x v="6"/>
    <x v="2"/>
    <d v="2022-10-23T00:00:00"/>
    <x v="1"/>
    <n v="3472"/>
    <n v="7647"/>
    <n v="2.27"/>
    <n v="70"/>
  </r>
  <r>
    <x v="258"/>
    <x v="258"/>
    <x v="4"/>
    <x v="2"/>
    <d v="2024-03-10T00:00:00"/>
    <x v="2"/>
    <n v="14136"/>
    <n v="1781"/>
    <n v="2.06"/>
    <n v="81"/>
  </r>
  <r>
    <x v="259"/>
    <x v="259"/>
    <x v="6"/>
    <x v="0"/>
    <d v="2023-01-11T00:00:00"/>
    <x v="1"/>
    <n v="8110"/>
    <n v="2427"/>
    <n v="3.44"/>
    <n v="55"/>
  </r>
  <r>
    <x v="260"/>
    <x v="260"/>
    <x v="4"/>
    <x v="1"/>
    <d v="2023-03-10T00:00:00"/>
    <x v="1"/>
    <n v="4090"/>
    <n v="1536"/>
    <n v="2.95"/>
    <n v="60"/>
  </r>
  <r>
    <x v="261"/>
    <x v="261"/>
    <x v="5"/>
    <x v="0"/>
    <d v="2023-01-26T00:00:00"/>
    <x v="0"/>
    <n v="2654"/>
    <n v="1494"/>
    <n v="3.44"/>
    <n v="78"/>
  </r>
  <r>
    <x v="262"/>
    <x v="262"/>
    <x v="0"/>
    <x v="3"/>
    <d v="2023-12-16T00:00:00"/>
    <x v="0"/>
    <n v="14036"/>
    <n v="9481"/>
    <n v="3.17"/>
    <n v="85"/>
  </r>
  <r>
    <x v="263"/>
    <x v="263"/>
    <x v="0"/>
    <x v="2"/>
    <d v="2022-02-27T00:00:00"/>
    <x v="1"/>
    <n v="9912"/>
    <n v="9447"/>
    <n v="2.11"/>
    <n v="10"/>
  </r>
  <r>
    <x v="264"/>
    <x v="264"/>
    <x v="3"/>
    <x v="0"/>
    <d v="2022-12-27T00:00:00"/>
    <x v="1"/>
    <n v="6111"/>
    <n v="1558"/>
    <n v="2.2200000000000002"/>
    <n v="48"/>
  </r>
  <r>
    <x v="265"/>
    <x v="265"/>
    <x v="3"/>
    <x v="3"/>
    <d v="2024-03-09T00:00:00"/>
    <x v="0"/>
    <n v="12375"/>
    <n v="1292"/>
    <n v="2.54"/>
    <n v="40"/>
  </r>
  <r>
    <x v="266"/>
    <x v="266"/>
    <x v="6"/>
    <x v="1"/>
    <d v="2022-12-11T00:00:00"/>
    <x v="0"/>
    <n v="5864"/>
    <n v="3943"/>
    <n v="3.14"/>
    <n v="79"/>
  </r>
  <r>
    <x v="267"/>
    <x v="267"/>
    <x v="3"/>
    <x v="0"/>
    <d v="2022-03-17T00:00:00"/>
    <x v="0"/>
    <n v="14547"/>
    <n v="4922"/>
    <n v="3.06"/>
    <n v="67"/>
  </r>
  <r>
    <x v="268"/>
    <x v="268"/>
    <x v="4"/>
    <x v="0"/>
    <d v="2022-03-27T00:00:00"/>
    <x v="1"/>
    <n v="12862"/>
    <n v="6663"/>
    <n v="3.69"/>
    <n v="85"/>
  </r>
  <r>
    <x v="269"/>
    <x v="269"/>
    <x v="2"/>
    <x v="0"/>
    <d v="2023-11-04T00:00:00"/>
    <x v="0"/>
    <n v="3181"/>
    <n v="2030"/>
    <n v="2.2200000000000002"/>
    <n v="110"/>
  </r>
  <r>
    <x v="270"/>
    <x v="270"/>
    <x v="1"/>
    <x v="3"/>
    <d v="2022-07-17T00:00:00"/>
    <x v="1"/>
    <n v="7961"/>
    <n v="6424"/>
    <n v="3.69"/>
    <n v="12"/>
  </r>
  <r>
    <x v="271"/>
    <x v="271"/>
    <x v="6"/>
    <x v="1"/>
    <d v="2022-12-14T00:00:00"/>
    <x v="1"/>
    <n v="3134"/>
    <n v="313"/>
    <n v="2.02"/>
    <n v="112"/>
  </r>
  <r>
    <x v="272"/>
    <x v="272"/>
    <x v="7"/>
    <x v="1"/>
    <d v="2023-05-14T00:00:00"/>
    <x v="1"/>
    <n v="13777"/>
    <n v="8538"/>
    <n v="3.35"/>
    <n v="22"/>
  </r>
  <r>
    <x v="273"/>
    <x v="273"/>
    <x v="7"/>
    <x v="0"/>
    <d v="2024-04-05T00:00:00"/>
    <x v="0"/>
    <n v="13439"/>
    <n v="2405"/>
    <n v="2.5099999999999998"/>
    <n v="104"/>
  </r>
  <r>
    <x v="274"/>
    <x v="274"/>
    <x v="6"/>
    <x v="1"/>
    <d v="2023-01-18T00:00:00"/>
    <x v="1"/>
    <n v="7518"/>
    <n v="6229"/>
    <n v="3.59"/>
    <n v="48"/>
  </r>
  <r>
    <x v="275"/>
    <x v="275"/>
    <x v="5"/>
    <x v="2"/>
    <d v="2023-05-27T00:00:00"/>
    <x v="0"/>
    <n v="13408"/>
    <n v="4476"/>
    <n v="2.15"/>
    <n v="22"/>
  </r>
  <r>
    <x v="276"/>
    <x v="276"/>
    <x v="0"/>
    <x v="0"/>
    <d v="2024-06-07T00:00:00"/>
    <x v="0"/>
    <n v="8007"/>
    <n v="9251"/>
    <n v="2.42"/>
    <n v="37"/>
  </r>
  <r>
    <x v="277"/>
    <x v="277"/>
    <x v="0"/>
    <x v="3"/>
    <d v="2023-09-14T00:00:00"/>
    <x v="1"/>
    <n v="9757"/>
    <n v="7770"/>
    <n v="3.36"/>
    <n v="103"/>
  </r>
  <r>
    <x v="278"/>
    <x v="278"/>
    <x v="3"/>
    <x v="3"/>
    <d v="2023-03-04T00:00:00"/>
    <x v="1"/>
    <n v="5923"/>
    <n v="8679"/>
    <n v="2.2799999999999998"/>
    <n v="65"/>
  </r>
  <r>
    <x v="279"/>
    <x v="279"/>
    <x v="6"/>
    <x v="2"/>
    <d v="2023-10-11T00:00:00"/>
    <x v="1"/>
    <n v="11940"/>
    <n v="9530"/>
    <n v="2.02"/>
    <n v="30"/>
  </r>
  <r>
    <x v="280"/>
    <x v="280"/>
    <x v="5"/>
    <x v="0"/>
    <d v="2023-08-17T00:00:00"/>
    <x v="1"/>
    <n v="12216"/>
    <n v="8265"/>
    <n v="3.42"/>
    <n v="5"/>
  </r>
  <r>
    <x v="281"/>
    <x v="281"/>
    <x v="6"/>
    <x v="2"/>
    <d v="2022-12-15T00:00:00"/>
    <x v="0"/>
    <n v="8332"/>
    <n v="4580"/>
    <n v="2.6"/>
    <n v="53"/>
  </r>
  <r>
    <x v="282"/>
    <x v="282"/>
    <x v="6"/>
    <x v="2"/>
    <d v="2022-11-04T00:00:00"/>
    <x v="0"/>
    <n v="8893"/>
    <n v="6924"/>
    <n v="3.7"/>
    <n v="51"/>
  </r>
  <r>
    <x v="283"/>
    <x v="283"/>
    <x v="4"/>
    <x v="2"/>
    <d v="2022-06-13T00:00:00"/>
    <x v="2"/>
    <n v="9981"/>
    <n v="2190"/>
    <n v="2.12"/>
    <n v="53"/>
  </r>
  <r>
    <x v="284"/>
    <x v="284"/>
    <x v="2"/>
    <x v="2"/>
    <d v="2023-11-24T00:00:00"/>
    <x v="1"/>
    <n v="9881"/>
    <n v="561"/>
    <n v="2.93"/>
    <n v="90"/>
  </r>
  <r>
    <x v="285"/>
    <x v="285"/>
    <x v="0"/>
    <x v="0"/>
    <d v="2023-09-09T00:00:00"/>
    <x v="0"/>
    <n v="2709"/>
    <n v="4201"/>
    <n v="2.2599999999999998"/>
    <n v="50"/>
  </r>
  <r>
    <x v="286"/>
    <x v="286"/>
    <x v="1"/>
    <x v="2"/>
    <d v="2022-01-19T00:00:00"/>
    <x v="0"/>
    <n v="11935"/>
    <n v="4832"/>
    <n v="2.36"/>
    <n v="31"/>
  </r>
  <r>
    <x v="287"/>
    <x v="287"/>
    <x v="3"/>
    <x v="2"/>
    <d v="2024-06-09T00:00:00"/>
    <x v="0"/>
    <n v="11303"/>
    <n v="4786"/>
    <n v="2.72"/>
    <n v="60"/>
  </r>
  <r>
    <x v="288"/>
    <x v="288"/>
    <x v="7"/>
    <x v="3"/>
    <d v="2022-11-07T00:00:00"/>
    <x v="1"/>
    <n v="14396"/>
    <n v="4065"/>
    <n v="2.06"/>
    <n v="34"/>
  </r>
  <r>
    <x v="289"/>
    <x v="289"/>
    <x v="5"/>
    <x v="0"/>
    <d v="2023-02-23T00:00:00"/>
    <x v="1"/>
    <n v="7215"/>
    <n v="260"/>
    <n v="2.98"/>
    <n v="47"/>
  </r>
  <r>
    <x v="290"/>
    <x v="290"/>
    <x v="7"/>
    <x v="3"/>
    <d v="2022-05-17T00:00:00"/>
    <x v="0"/>
    <n v="5255"/>
    <n v="6902"/>
    <n v="3.64"/>
    <n v="86"/>
  </r>
  <r>
    <x v="291"/>
    <x v="291"/>
    <x v="6"/>
    <x v="0"/>
    <d v="2024-05-21T00:00:00"/>
    <x v="2"/>
    <n v="9805"/>
    <n v="1354"/>
    <n v="3.9"/>
    <n v="83"/>
  </r>
  <r>
    <x v="292"/>
    <x v="292"/>
    <x v="3"/>
    <x v="1"/>
    <d v="2023-01-07T00:00:00"/>
    <x v="1"/>
    <n v="4492"/>
    <n v="9577"/>
    <n v="3.78"/>
    <n v="58"/>
  </r>
  <r>
    <x v="293"/>
    <x v="293"/>
    <x v="5"/>
    <x v="3"/>
    <d v="2022-05-10T00:00:00"/>
    <x v="0"/>
    <n v="14426"/>
    <n v="9248"/>
    <n v="2.79"/>
    <n v="87"/>
  </r>
  <r>
    <x v="294"/>
    <x v="294"/>
    <x v="7"/>
    <x v="3"/>
    <d v="2022-12-19T00:00:00"/>
    <x v="1"/>
    <n v="5148"/>
    <n v="2434"/>
    <n v="3.96"/>
    <n v="32"/>
  </r>
  <r>
    <x v="295"/>
    <x v="295"/>
    <x v="2"/>
    <x v="1"/>
    <d v="2023-11-10T00:00:00"/>
    <x v="0"/>
    <n v="11170"/>
    <n v="7941"/>
    <n v="2.06"/>
    <n v="112"/>
  </r>
  <r>
    <x v="296"/>
    <x v="296"/>
    <x v="7"/>
    <x v="3"/>
    <d v="2022-07-23T00:00:00"/>
    <x v="0"/>
    <n v="12190"/>
    <n v="3721"/>
    <n v="3.4"/>
    <n v="5"/>
  </r>
  <r>
    <x v="297"/>
    <x v="297"/>
    <x v="4"/>
    <x v="3"/>
    <d v="2022-10-06T00:00:00"/>
    <x v="1"/>
    <n v="11788"/>
    <n v="6411"/>
    <n v="3.18"/>
    <n v="23"/>
  </r>
  <r>
    <x v="298"/>
    <x v="298"/>
    <x v="7"/>
    <x v="3"/>
    <d v="2024-02-18T00:00:00"/>
    <x v="0"/>
    <n v="7884"/>
    <n v="6454"/>
    <n v="2.1"/>
    <n v="40"/>
  </r>
  <r>
    <x v="299"/>
    <x v="299"/>
    <x v="2"/>
    <x v="2"/>
    <d v="2023-03-26T00:00:00"/>
    <x v="1"/>
    <n v="3515"/>
    <n v="4798"/>
    <n v="2.41"/>
    <n v="115"/>
  </r>
  <r>
    <x v="300"/>
    <x v="300"/>
    <x v="7"/>
    <x v="3"/>
    <d v="2022-07-30T00:00:00"/>
    <x v="1"/>
    <n v="11803"/>
    <n v="6022"/>
    <n v="2.94"/>
    <n v="116"/>
  </r>
  <r>
    <x v="301"/>
    <x v="301"/>
    <x v="2"/>
    <x v="0"/>
    <d v="2022-05-10T00:00:00"/>
    <x v="0"/>
    <n v="5515"/>
    <n v="5467"/>
    <n v="3.85"/>
    <n v="65"/>
  </r>
  <r>
    <x v="302"/>
    <x v="302"/>
    <x v="3"/>
    <x v="3"/>
    <d v="2022-09-08T00:00:00"/>
    <x v="0"/>
    <n v="12810"/>
    <n v="9194"/>
    <n v="3.95"/>
    <n v="58"/>
  </r>
  <r>
    <x v="303"/>
    <x v="303"/>
    <x v="3"/>
    <x v="2"/>
    <d v="2022-10-05T00:00:00"/>
    <x v="0"/>
    <n v="4155"/>
    <n v="4450"/>
    <n v="3.64"/>
    <n v="25"/>
  </r>
  <r>
    <x v="304"/>
    <x v="304"/>
    <x v="1"/>
    <x v="3"/>
    <d v="2024-03-21T00:00:00"/>
    <x v="0"/>
    <n v="7723"/>
    <n v="368"/>
    <n v="3.09"/>
    <n v="23"/>
  </r>
  <r>
    <x v="305"/>
    <x v="305"/>
    <x v="5"/>
    <x v="1"/>
    <d v="2022-11-18T00:00:00"/>
    <x v="1"/>
    <n v="6777"/>
    <n v="7534"/>
    <n v="2.29"/>
    <n v="47"/>
  </r>
  <r>
    <x v="306"/>
    <x v="306"/>
    <x v="0"/>
    <x v="0"/>
    <d v="2022-01-23T00:00:00"/>
    <x v="1"/>
    <n v="8267"/>
    <n v="1717"/>
    <n v="3.92"/>
    <n v="56"/>
  </r>
  <r>
    <x v="307"/>
    <x v="307"/>
    <x v="0"/>
    <x v="3"/>
    <d v="2023-01-14T00:00:00"/>
    <x v="0"/>
    <n v="9602"/>
    <n v="3213"/>
    <n v="3.51"/>
    <n v="103"/>
  </r>
  <r>
    <x v="308"/>
    <x v="308"/>
    <x v="2"/>
    <x v="2"/>
    <d v="2023-04-01T00:00:00"/>
    <x v="0"/>
    <n v="7771"/>
    <n v="7737"/>
    <n v="3.5"/>
    <n v="44"/>
  </r>
  <r>
    <x v="309"/>
    <x v="309"/>
    <x v="6"/>
    <x v="3"/>
    <d v="2022-06-16T00:00:00"/>
    <x v="0"/>
    <n v="6051"/>
    <n v="2238"/>
    <n v="2.88"/>
    <n v="73"/>
  </r>
  <r>
    <x v="310"/>
    <x v="310"/>
    <x v="2"/>
    <x v="2"/>
    <d v="2023-05-22T00:00:00"/>
    <x v="1"/>
    <n v="10432"/>
    <n v="3942"/>
    <n v="3.19"/>
    <n v="34"/>
  </r>
  <r>
    <x v="311"/>
    <x v="311"/>
    <x v="7"/>
    <x v="1"/>
    <d v="2022-04-05T00:00:00"/>
    <x v="1"/>
    <n v="13615"/>
    <n v="6143"/>
    <n v="2.2999999999999998"/>
    <n v="26"/>
  </r>
  <r>
    <x v="312"/>
    <x v="312"/>
    <x v="4"/>
    <x v="1"/>
    <d v="2022-01-18T00:00:00"/>
    <x v="0"/>
    <n v="11152"/>
    <n v="4980"/>
    <n v="2.37"/>
    <n v="27"/>
  </r>
  <r>
    <x v="313"/>
    <x v="313"/>
    <x v="6"/>
    <x v="2"/>
    <d v="2024-02-06T00:00:00"/>
    <x v="0"/>
    <n v="6901"/>
    <n v="9266"/>
    <n v="2.88"/>
    <n v="83"/>
  </r>
  <r>
    <x v="314"/>
    <x v="314"/>
    <x v="0"/>
    <x v="0"/>
    <d v="2022-06-18T00:00:00"/>
    <x v="0"/>
    <n v="8130"/>
    <n v="906"/>
    <n v="3.34"/>
    <n v="13"/>
  </r>
  <r>
    <x v="315"/>
    <x v="315"/>
    <x v="2"/>
    <x v="0"/>
    <d v="2023-01-08T00:00:00"/>
    <x v="1"/>
    <n v="3221"/>
    <n v="8857"/>
    <n v="3.67"/>
    <n v="48"/>
  </r>
  <r>
    <x v="316"/>
    <x v="316"/>
    <x v="1"/>
    <x v="3"/>
    <d v="2022-09-06T00:00:00"/>
    <x v="1"/>
    <n v="14917"/>
    <n v="1441"/>
    <n v="2.77"/>
    <n v="23"/>
  </r>
  <r>
    <x v="317"/>
    <x v="317"/>
    <x v="5"/>
    <x v="3"/>
    <d v="2022-11-28T00:00:00"/>
    <x v="0"/>
    <n v="12168"/>
    <n v="2071"/>
    <n v="2.75"/>
    <n v="24"/>
  </r>
  <r>
    <x v="318"/>
    <x v="318"/>
    <x v="6"/>
    <x v="2"/>
    <d v="2022-06-13T00:00:00"/>
    <x v="1"/>
    <n v="10039"/>
    <n v="458"/>
    <n v="3.26"/>
    <n v="63"/>
  </r>
  <r>
    <x v="319"/>
    <x v="319"/>
    <x v="6"/>
    <x v="3"/>
    <d v="2022-02-09T00:00:00"/>
    <x v="0"/>
    <n v="3870"/>
    <n v="3731"/>
    <n v="2.08"/>
    <n v="65"/>
  </r>
  <r>
    <x v="320"/>
    <x v="320"/>
    <x v="5"/>
    <x v="3"/>
    <d v="2022-11-12T00:00:00"/>
    <x v="1"/>
    <n v="5914"/>
    <n v="3962"/>
    <n v="2.11"/>
    <n v="71"/>
  </r>
  <r>
    <x v="321"/>
    <x v="321"/>
    <x v="1"/>
    <x v="3"/>
    <d v="2024-06-01T00:00:00"/>
    <x v="0"/>
    <n v="2084"/>
    <n v="5468"/>
    <n v="2.79"/>
    <n v="46"/>
  </r>
  <r>
    <x v="322"/>
    <x v="322"/>
    <x v="0"/>
    <x v="3"/>
    <d v="2022-02-24T00:00:00"/>
    <x v="0"/>
    <n v="9739"/>
    <n v="3558"/>
    <n v="3.14"/>
    <n v="50"/>
  </r>
  <r>
    <x v="323"/>
    <x v="323"/>
    <x v="5"/>
    <x v="1"/>
    <d v="2023-12-01T00:00:00"/>
    <x v="1"/>
    <n v="5005"/>
    <n v="5309"/>
    <n v="3.62"/>
    <n v="31"/>
  </r>
  <r>
    <x v="324"/>
    <x v="324"/>
    <x v="6"/>
    <x v="1"/>
    <d v="2024-01-06T00:00:00"/>
    <x v="1"/>
    <n v="5480"/>
    <n v="5300"/>
    <n v="3.52"/>
    <n v="111"/>
  </r>
  <r>
    <x v="325"/>
    <x v="325"/>
    <x v="2"/>
    <x v="3"/>
    <d v="2024-03-27T00:00:00"/>
    <x v="0"/>
    <n v="12926"/>
    <n v="1253"/>
    <n v="3.62"/>
    <n v="13"/>
  </r>
  <r>
    <x v="326"/>
    <x v="326"/>
    <x v="0"/>
    <x v="0"/>
    <d v="2024-05-18T00:00:00"/>
    <x v="2"/>
    <n v="11564"/>
    <n v="2120"/>
    <n v="2.13"/>
    <n v="68"/>
  </r>
  <r>
    <x v="327"/>
    <x v="327"/>
    <x v="6"/>
    <x v="3"/>
    <d v="2022-04-08T00:00:00"/>
    <x v="0"/>
    <n v="8396"/>
    <n v="5614"/>
    <n v="3.52"/>
    <n v="8"/>
  </r>
  <r>
    <x v="328"/>
    <x v="328"/>
    <x v="6"/>
    <x v="1"/>
    <d v="2023-02-12T00:00:00"/>
    <x v="0"/>
    <n v="10998"/>
    <n v="3502"/>
    <n v="2.02"/>
    <n v="113"/>
  </r>
  <r>
    <x v="329"/>
    <x v="329"/>
    <x v="4"/>
    <x v="2"/>
    <d v="2022-01-17T00:00:00"/>
    <x v="0"/>
    <n v="8399"/>
    <n v="1597"/>
    <n v="2.92"/>
    <n v="54"/>
  </r>
  <r>
    <x v="330"/>
    <x v="330"/>
    <x v="7"/>
    <x v="2"/>
    <d v="2022-03-20T00:00:00"/>
    <x v="0"/>
    <n v="14659"/>
    <n v="4249"/>
    <n v="3.9"/>
    <n v="4"/>
  </r>
  <r>
    <x v="331"/>
    <x v="331"/>
    <x v="1"/>
    <x v="1"/>
    <d v="2023-07-25T00:00:00"/>
    <x v="1"/>
    <n v="11038"/>
    <n v="590"/>
    <n v="2.02"/>
    <n v="16"/>
  </r>
  <r>
    <x v="332"/>
    <x v="332"/>
    <x v="0"/>
    <x v="0"/>
    <d v="2023-05-29T00:00:00"/>
    <x v="1"/>
    <n v="3155"/>
    <n v="1309"/>
    <n v="2.13"/>
    <n v="60"/>
  </r>
  <r>
    <x v="333"/>
    <x v="333"/>
    <x v="7"/>
    <x v="0"/>
    <d v="2023-02-18T00:00:00"/>
    <x v="0"/>
    <n v="9857"/>
    <n v="5580"/>
    <n v="2.76"/>
    <n v="6"/>
  </r>
  <r>
    <x v="334"/>
    <x v="334"/>
    <x v="4"/>
    <x v="3"/>
    <d v="2022-02-15T00:00:00"/>
    <x v="0"/>
    <n v="3419"/>
    <n v="7990"/>
    <n v="3.98"/>
    <n v="57"/>
  </r>
  <r>
    <x v="335"/>
    <x v="335"/>
    <x v="2"/>
    <x v="1"/>
    <d v="2022-10-03T00:00:00"/>
    <x v="0"/>
    <n v="10227"/>
    <n v="8244"/>
    <n v="2.46"/>
    <n v="40"/>
  </r>
  <r>
    <x v="336"/>
    <x v="336"/>
    <x v="7"/>
    <x v="3"/>
    <d v="2023-12-09T00:00:00"/>
    <x v="0"/>
    <n v="5425"/>
    <n v="8837"/>
    <n v="2.46"/>
    <n v="17"/>
  </r>
  <r>
    <x v="337"/>
    <x v="337"/>
    <x v="0"/>
    <x v="1"/>
    <d v="2024-01-15T00:00:00"/>
    <x v="0"/>
    <n v="3010"/>
    <n v="3613"/>
    <n v="3.27"/>
    <n v="9"/>
  </r>
  <r>
    <x v="338"/>
    <x v="338"/>
    <x v="7"/>
    <x v="2"/>
    <d v="2022-10-20T00:00:00"/>
    <x v="0"/>
    <n v="8290"/>
    <n v="4182"/>
    <n v="2.71"/>
    <n v="72"/>
  </r>
  <r>
    <x v="339"/>
    <x v="339"/>
    <x v="5"/>
    <x v="3"/>
    <d v="2023-05-16T00:00:00"/>
    <x v="0"/>
    <n v="3151"/>
    <n v="2504"/>
    <n v="2.38"/>
    <n v="51"/>
  </r>
  <r>
    <x v="340"/>
    <x v="340"/>
    <x v="1"/>
    <x v="0"/>
    <d v="2023-04-27T00:00:00"/>
    <x v="0"/>
    <n v="3317"/>
    <n v="5701"/>
    <n v="2.08"/>
    <n v="85"/>
  </r>
  <r>
    <x v="341"/>
    <x v="341"/>
    <x v="4"/>
    <x v="3"/>
    <d v="2022-02-19T00:00:00"/>
    <x v="0"/>
    <n v="4447"/>
    <n v="1972"/>
    <n v="3.43"/>
    <n v="67"/>
  </r>
  <r>
    <x v="342"/>
    <x v="342"/>
    <x v="3"/>
    <x v="1"/>
    <d v="2024-01-30T00:00:00"/>
    <x v="0"/>
    <n v="4390"/>
    <n v="9450"/>
    <n v="3.04"/>
    <n v="119"/>
  </r>
  <r>
    <x v="343"/>
    <x v="343"/>
    <x v="1"/>
    <x v="1"/>
    <d v="2023-01-19T00:00:00"/>
    <x v="0"/>
    <n v="12226"/>
    <n v="5785"/>
    <n v="3.48"/>
    <n v="46"/>
  </r>
  <r>
    <x v="344"/>
    <x v="344"/>
    <x v="7"/>
    <x v="0"/>
    <d v="2024-06-17T00:00:00"/>
    <x v="0"/>
    <n v="10765"/>
    <n v="3730"/>
    <n v="3.18"/>
    <n v="109"/>
  </r>
  <r>
    <x v="345"/>
    <x v="345"/>
    <x v="1"/>
    <x v="3"/>
    <d v="2023-09-14T00:00:00"/>
    <x v="0"/>
    <n v="6631"/>
    <n v="3605"/>
    <n v="2.15"/>
    <n v="93"/>
  </r>
  <r>
    <x v="346"/>
    <x v="346"/>
    <x v="4"/>
    <x v="0"/>
    <d v="2022-11-19T00:00:00"/>
    <x v="0"/>
    <n v="12250"/>
    <n v="373"/>
    <n v="3.37"/>
    <n v="23"/>
  </r>
  <r>
    <x v="347"/>
    <x v="347"/>
    <x v="0"/>
    <x v="0"/>
    <d v="2022-03-21T00:00:00"/>
    <x v="0"/>
    <n v="8028"/>
    <n v="5955"/>
    <n v="2.81"/>
    <n v="4"/>
  </r>
  <r>
    <x v="348"/>
    <x v="348"/>
    <x v="0"/>
    <x v="3"/>
    <d v="2024-01-25T00:00:00"/>
    <x v="1"/>
    <n v="4948"/>
    <n v="3342"/>
    <n v="3.08"/>
    <n v="119"/>
  </r>
  <r>
    <x v="349"/>
    <x v="349"/>
    <x v="2"/>
    <x v="1"/>
    <d v="2024-03-31T00:00:00"/>
    <x v="0"/>
    <n v="5751"/>
    <n v="1819"/>
    <n v="2.04"/>
    <n v="58"/>
  </r>
  <r>
    <x v="350"/>
    <x v="350"/>
    <x v="3"/>
    <x v="1"/>
    <d v="2022-07-18T00:00:00"/>
    <x v="2"/>
    <n v="8271"/>
    <n v="6443"/>
    <n v="3.38"/>
    <n v="101"/>
  </r>
  <r>
    <x v="351"/>
    <x v="351"/>
    <x v="1"/>
    <x v="2"/>
    <d v="2024-01-21T00:00:00"/>
    <x v="0"/>
    <n v="11568"/>
    <n v="9456"/>
    <n v="3.74"/>
    <n v="104"/>
  </r>
  <r>
    <x v="352"/>
    <x v="352"/>
    <x v="0"/>
    <x v="1"/>
    <d v="2023-07-31T00:00:00"/>
    <x v="0"/>
    <n v="10825"/>
    <n v="9457"/>
    <n v="3.74"/>
    <n v="3"/>
  </r>
  <r>
    <x v="353"/>
    <x v="353"/>
    <x v="6"/>
    <x v="2"/>
    <d v="2022-07-06T00:00:00"/>
    <x v="1"/>
    <n v="7978"/>
    <n v="7406"/>
    <n v="3.61"/>
    <n v="32"/>
  </r>
  <r>
    <x v="354"/>
    <x v="354"/>
    <x v="2"/>
    <x v="0"/>
    <d v="2022-10-03T00:00:00"/>
    <x v="1"/>
    <n v="11708"/>
    <n v="9853"/>
    <n v="2.88"/>
    <n v="49"/>
  </r>
  <r>
    <x v="355"/>
    <x v="355"/>
    <x v="4"/>
    <x v="1"/>
    <d v="2022-01-01T00:00:00"/>
    <x v="0"/>
    <n v="14323"/>
    <n v="5656"/>
    <n v="3.7"/>
    <n v="48"/>
  </r>
  <r>
    <x v="356"/>
    <x v="356"/>
    <x v="6"/>
    <x v="0"/>
    <d v="2023-01-13T00:00:00"/>
    <x v="0"/>
    <n v="3253"/>
    <n v="8143"/>
    <n v="2.79"/>
    <n v="69"/>
  </r>
  <r>
    <x v="357"/>
    <x v="357"/>
    <x v="4"/>
    <x v="3"/>
    <d v="2023-08-30T00:00:00"/>
    <x v="0"/>
    <n v="14408"/>
    <n v="9114"/>
    <n v="2.0699999999999998"/>
    <n v="74"/>
  </r>
  <r>
    <x v="358"/>
    <x v="358"/>
    <x v="7"/>
    <x v="0"/>
    <d v="2022-10-26T00:00:00"/>
    <x v="0"/>
    <n v="9948"/>
    <n v="840"/>
    <n v="2.4500000000000002"/>
    <n v="9"/>
  </r>
  <r>
    <x v="359"/>
    <x v="359"/>
    <x v="6"/>
    <x v="1"/>
    <d v="2023-12-29T00:00:00"/>
    <x v="2"/>
    <n v="8535"/>
    <n v="678"/>
    <n v="3.07"/>
    <n v="28"/>
  </r>
  <r>
    <x v="360"/>
    <x v="360"/>
    <x v="4"/>
    <x v="2"/>
    <d v="2022-06-17T00:00:00"/>
    <x v="0"/>
    <n v="3685"/>
    <n v="36"/>
    <n v="2.57"/>
    <n v="5"/>
  </r>
  <r>
    <x v="361"/>
    <x v="361"/>
    <x v="7"/>
    <x v="3"/>
    <d v="2024-05-26T00:00:00"/>
    <x v="2"/>
    <n v="13540"/>
    <n v="3077"/>
    <n v="3.69"/>
    <n v="62"/>
  </r>
  <r>
    <x v="362"/>
    <x v="362"/>
    <x v="3"/>
    <x v="1"/>
    <d v="2024-05-09T00:00:00"/>
    <x v="1"/>
    <n v="14073"/>
    <n v="6320"/>
    <n v="2.4300000000000002"/>
    <n v="3"/>
  </r>
  <r>
    <x v="363"/>
    <x v="363"/>
    <x v="7"/>
    <x v="2"/>
    <d v="2023-12-05T00:00:00"/>
    <x v="1"/>
    <n v="6665"/>
    <n v="2771"/>
    <n v="3.28"/>
    <n v="66"/>
  </r>
  <r>
    <x v="364"/>
    <x v="364"/>
    <x v="2"/>
    <x v="3"/>
    <d v="2022-02-22T00:00:00"/>
    <x v="0"/>
    <n v="7095"/>
    <n v="8663"/>
    <n v="2.3199999999999998"/>
    <n v="98"/>
  </r>
  <r>
    <x v="365"/>
    <x v="365"/>
    <x v="3"/>
    <x v="3"/>
    <d v="2022-09-22T00:00:00"/>
    <x v="0"/>
    <n v="14571"/>
    <n v="1629"/>
    <n v="2.36"/>
    <n v="33"/>
  </r>
  <r>
    <x v="366"/>
    <x v="366"/>
    <x v="3"/>
    <x v="2"/>
    <d v="2024-06-10T00:00:00"/>
    <x v="2"/>
    <n v="10830"/>
    <n v="6989"/>
    <n v="2.2200000000000002"/>
    <n v="83"/>
  </r>
  <r>
    <x v="367"/>
    <x v="367"/>
    <x v="0"/>
    <x v="1"/>
    <d v="2023-11-11T00:00:00"/>
    <x v="2"/>
    <n v="8519"/>
    <n v="2389"/>
    <n v="2.85"/>
    <n v="109"/>
  </r>
  <r>
    <x v="368"/>
    <x v="368"/>
    <x v="4"/>
    <x v="1"/>
    <d v="2022-06-09T00:00:00"/>
    <x v="0"/>
    <n v="3664"/>
    <n v="6430"/>
    <n v="3.23"/>
    <n v="112"/>
  </r>
  <r>
    <x v="369"/>
    <x v="369"/>
    <x v="0"/>
    <x v="1"/>
    <d v="2022-09-29T00:00:00"/>
    <x v="0"/>
    <n v="2185"/>
    <n v="9733"/>
    <n v="2.1"/>
    <n v="21"/>
  </r>
  <r>
    <x v="370"/>
    <x v="370"/>
    <x v="1"/>
    <x v="2"/>
    <d v="2023-01-31T00:00:00"/>
    <x v="0"/>
    <n v="14842"/>
    <n v="8209"/>
    <n v="3.53"/>
    <n v="5"/>
  </r>
  <r>
    <x v="371"/>
    <x v="371"/>
    <x v="0"/>
    <x v="2"/>
    <d v="2022-05-24T00:00:00"/>
    <x v="1"/>
    <n v="4085"/>
    <n v="7274"/>
    <n v="3.68"/>
    <n v="118"/>
  </r>
  <r>
    <x v="372"/>
    <x v="372"/>
    <x v="0"/>
    <x v="3"/>
    <d v="2024-04-26T00:00:00"/>
    <x v="2"/>
    <n v="10083"/>
    <n v="7627"/>
    <n v="3.65"/>
    <n v="51"/>
  </r>
  <r>
    <x v="373"/>
    <x v="373"/>
    <x v="4"/>
    <x v="2"/>
    <d v="2022-09-14T00:00:00"/>
    <x v="0"/>
    <n v="7207"/>
    <n v="849"/>
    <n v="2.7"/>
    <n v="13"/>
  </r>
  <r>
    <x v="374"/>
    <x v="374"/>
    <x v="6"/>
    <x v="1"/>
    <d v="2022-09-22T00:00:00"/>
    <x v="1"/>
    <n v="5212"/>
    <n v="8077"/>
    <n v="3.84"/>
    <n v="107"/>
  </r>
  <r>
    <x v="375"/>
    <x v="375"/>
    <x v="0"/>
    <x v="2"/>
    <d v="2022-03-10T00:00:00"/>
    <x v="0"/>
    <n v="9737"/>
    <n v="4257"/>
    <n v="3.43"/>
    <n v="47"/>
  </r>
  <r>
    <x v="376"/>
    <x v="376"/>
    <x v="5"/>
    <x v="3"/>
    <d v="2022-02-24T00:00:00"/>
    <x v="2"/>
    <n v="3123"/>
    <n v="5542"/>
    <n v="3.82"/>
    <n v="48"/>
  </r>
  <r>
    <x v="377"/>
    <x v="377"/>
    <x v="7"/>
    <x v="0"/>
    <d v="2023-07-15T00:00:00"/>
    <x v="0"/>
    <n v="2497"/>
    <n v="7768"/>
    <n v="3.66"/>
    <n v="56"/>
  </r>
  <r>
    <x v="378"/>
    <x v="378"/>
    <x v="1"/>
    <x v="1"/>
    <d v="2024-06-10T00:00:00"/>
    <x v="1"/>
    <n v="13114"/>
    <n v="5020"/>
    <n v="2.78"/>
    <n v="67"/>
  </r>
  <r>
    <x v="379"/>
    <x v="379"/>
    <x v="7"/>
    <x v="3"/>
    <d v="2022-03-20T00:00:00"/>
    <x v="0"/>
    <n v="12549"/>
    <n v="5639"/>
    <n v="3.36"/>
    <n v="38"/>
  </r>
  <r>
    <x v="380"/>
    <x v="380"/>
    <x v="0"/>
    <x v="2"/>
    <d v="2023-05-15T00:00:00"/>
    <x v="0"/>
    <n v="11461"/>
    <n v="6852"/>
    <n v="2.88"/>
    <n v="73"/>
  </r>
  <r>
    <x v="381"/>
    <x v="381"/>
    <x v="0"/>
    <x v="2"/>
    <d v="2023-05-22T00:00:00"/>
    <x v="2"/>
    <n v="13551"/>
    <n v="1986"/>
    <n v="3.86"/>
    <n v="5"/>
  </r>
  <r>
    <x v="382"/>
    <x v="382"/>
    <x v="2"/>
    <x v="0"/>
    <d v="2023-02-10T00:00:00"/>
    <x v="2"/>
    <n v="13139"/>
    <n v="2798"/>
    <n v="2.63"/>
    <n v="119"/>
  </r>
  <r>
    <x v="383"/>
    <x v="383"/>
    <x v="5"/>
    <x v="0"/>
    <d v="2023-08-25T00:00:00"/>
    <x v="0"/>
    <n v="4092"/>
    <n v="8499"/>
    <n v="3.48"/>
    <n v="69"/>
  </r>
  <r>
    <x v="384"/>
    <x v="384"/>
    <x v="4"/>
    <x v="3"/>
    <d v="2022-06-14T00:00:00"/>
    <x v="1"/>
    <n v="2153"/>
    <n v="7439"/>
    <n v="3.76"/>
    <n v="30"/>
  </r>
  <r>
    <x v="385"/>
    <x v="385"/>
    <x v="5"/>
    <x v="2"/>
    <d v="2022-04-25T00:00:00"/>
    <x v="0"/>
    <n v="8339"/>
    <n v="9829"/>
    <n v="2.34"/>
    <n v="116"/>
  </r>
  <r>
    <x v="386"/>
    <x v="386"/>
    <x v="6"/>
    <x v="0"/>
    <d v="2022-03-09T00:00:00"/>
    <x v="0"/>
    <n v="11121"/>
    <n v="2183"/>
    <n v="2.99"/>
    <n v="42"/>
  </r>
  <r>
    <x v="387"/>
    <x v="387"/>
    <x v="7"/>
    <x v="2"/>
    <d v="2022-06-29T00:00:00"/>
    <x v="0"/>
    <n v="7432"/>
    <n v="7205"/>
    <n v="3.64"/>
    <n v="8"/>
  </r>
  <r>
    <x v="388"/>
    <x v="388"/>
    <x v="5"/>
    <x v="3"/>
    <d v="2022-11-08T00:00:00"/>
    <x v="0"/>
    <n v="3537"/>
    <n v="1875"/>
    <n v="2.87"/>
    <n v="19"/>
  </r>
  <r>
    <x v="389"/>
    <x v="389"/>
    <x v="4"/>
    <x v="2"/>
    <d v="2022-04-17T00:00:00"/>
    <x v="0"/>
    <n v="9228"/>
    <n v="1359"/>
    <n v="2.4"/>
    <n v="81"/>
  </r>
  <r>
    <x v="390"/>
    <x v="390"/>
    <x v="5"/>
    <x v="0"/>
    <d v="2022-12-23T00:00:00"/>
    <x v="1"/>
    <n v="13877"/>
    <n v="6447"/>
    <n v="2.34"/>
    <n v="69"/>
  </r>
  <r>
    <x v="391"/>
    <x v="391"/>
    <x v="5"/>
    <x v="1"/>
    <d v="2023-07-05T00:00:00"/>
    <x v="0"/>
    <n v="10582"/>
    <n v="7243"/>
    <n v="2.41"/>
    <n v="10"/>
  </r>
  <r>
    <x v="392"/>
    <x v="392"/>
    <x v="7"/>
    <x v="0"/>
    <d v="2024-02-02T00:00:00"/>
    <x v="0"/>
    <n v="11913"/>
    <n v="1193"/>
    <n v="3.95"/>
    <n v="92"/>
  </r>
  <r>
    <x v="393"/>
    <x v="393"/>
    <x v="1"/>
    <x v="3"/>
    <d v="2023-06-25T00:00:00"/>
    <x v="0"/>
    <n v="4298"/>
    <n v="6092"/>
    <n v="3.4"/>
    <n v="5"/>
  </r>
  <r>
    <x v="394"/>
    <x v="394"/>
    <x v="7"/>
    <x v="0"/>
    <d v="2022-01-15T00:00:00"/>
    <x v="0"/>
    <n v="4756"/>
    <n v="7006"/>
    <n v="3.99"/>
    <n v="105"/>
  </r>
  <r>
    <x v="395"/>
    <x v="395"/>
    <x v="5"/>
    <x v="0"/>
    <d v="2022-11-17T00:00:00"/>
    <x v="0"/>
    <n v="3656"/>
    <n v="2681"/>
    <n v="3.13"/>
    <n v="100"/>
  </r>
  <r>
    <x v="396"/>
    <x v="396"/>
    <x v="6"/>
    <x v="3"/>
    <d v="2022-10-12T00:00:00"/>
    <x v="1"/>
    <n v="10433"/>
    <n v="4525"/>
    <n v="3.29"/>
    <n v="108"/>
  </r>
  <r>
    <x v="397"/>
    <x v="397"/>
    <x v="0"/>
    <x v="3"/>
    <d v="2023-01-19T00:00:00"/>
    <x v="0"/>
    <n v="7176"/>
    <n v="6289"/>
    <n v="2.74"/>
    <n v="8"/>
  </r>
  <r>
    <x v="398"/>
    <x v="398"/>
    <x v="0"/>
    <x v="2"/>
    <d v="2023-10-10T00:00:00"/>
    <x v="1"/>
    <n v="4923"/>
    <n v="4054"/>
    <n v="2.95"/>
    <n v="47"/>
  </r>
  <r>
    <x v="399"/>
    <x v="399"/>
    <x v="3"/>
    <x v="1"/>
    <d v="2023-08-31T00:00:00"/>
    <x v="0"/>
    <n v="11530"/>
    <n v="8184"/>
    <n v="2.92"/>
    <n v="39"/>
  </r>
  <r>
    <x v="400"/>
    <x v="400"/>
    <x v="5"/>
    <x v="1"/>
    <d v="2022-11-17T00:00:00"/>
    <x v="0"/>
    <n v="8885"/>
    <n v="7872"/>
    <n v="3.05"/>
    <n v="90"/>
  </r>
  <r>
    <x v="401"/>
    <x v="401"/>
    <x v="6"/>
    <x v="2"/>
    <d v="2024-06-08T00:00:00"/>
    <x v="0"/>
    <n v="10284"/>
    <n v="3331"/>
    <n v="2.88"/>
    <n v="39"/>
  </r>
  <r>
    <x v="402"/>
    <x v="402"/>
    <x v="5"/>
    <x v="3"/>
    <d v="2023-03-10T00:00:00"/>
    <x v="1"/>
    <n v="3783"/>
    <n v="2017"/>
    <n v="3.28"/>
    <n v="88"/>
  </r>
  <r>
    <x v="403"/>
    <x v="403"/>
    <x v="7"/>
    <x v="2"/>
    <d v="2023-12-03T00:00:00"/>
    <x v="2"/>
    <n v="2286"/>
    <n v="5321"/>
    <n v="2.81"/>
    <n v="111"/>
  </r>
  <r>
    <x v="404"/>
    <x v="404"/>
    <x v="4"/>
    <x v="0"/>
    <d v="2022-12-21T00:00:00"/>
    <x v="0"/>
    <n v="6531"/>
    <n v="6344"/>
    <n v="3.86"/>
    <n v="36"/>
  </r>
  <r>
    <x v="405"/>
    <x v="405"/>
    <x v="4"/>
    <x v="0"/>
    <d v="2022-04-23T00:00:00"/>
    <x v="0"/>
    <n v="5496"/>
    <n v="3092"/>
    <n v="3.83"/>
    <n v="71"/>
  </r>
  <r>
    <x v="406"/>
    <x v="406"/>
    <x v="6"/>
    <x v="0"/>
    <d v="2022-04-30T00:00:00"/>
    <x v="0"/>
    <n v="8341"/>
    <n v="2639"/>
    <n v="3.15"/>
    <n v="39"/>
  </r>
  <r>
    <x v="407"/>
    <x v="407"/>
    <x v="6"/>
    <x v="1"/>
    <d v="2022-07-25T00:00:00"/>
    <x v="1"/>
    <n v="3900"/>
    <n v="8192"/>
    <n v="3.46"/>
    <n v="1"/>
  </r>
  <r>
    <x v="408"/>
    <x v="408"/>
    <x v="4"/>
    <x v="0"/>
    <d v="2024-06-08T00:00:00"/>
    <x v="1"/>
    <n v="10931"/>
    <n v="768"/>
    <n v="3.3"/>
    <n v="97"/>
  </r>
  <r>
    <x v="409"/>
    <x v="409"/>
    <x v="4"/>
    <x v="0"/>
    <d v="2023-09-30T00:00:00"/>
    <x v="0"/>
    <n v="13786"/>
    <n v="8660"/>
    <n v="2.0499999999999998"/>
    <n v="59"/>
  </r>
  <r>
    <x v="410"/>
    <x v="410"/>
    <x v="4"/>
    <x v="3"/>
    <d v="2024-03-08T00:00:00"/>
    <x v="1"/>
    <n v="7556"/>
    <n v="4121"/>
    <n v="2.62"/>
    <n v="109"/>
  </r>
  <r>
    <x v="411"/>
    <x v="411"/>
    <x v="0"/>
    <x v="3"/>
    <d v="2023-06-11T00:00:00"/>
    <x v="0"/>
    <n v="2531"/>
    <n v="864"/>
    <n v="2.9"/>
    <n v="20"/>
  </r>
  <r>
    <x v="412"/>
    <x v="412"/>
    <x v="3"/>
    <x v="3"/>
    <d v="2023-08-01T00:00:00"/>
    <x v="0"/>
    <n v="11002"/>
    <n v="7136"/>
    <n v="3.77"/>
    <n v="43"/>
  </r>
  <r>
    <x v="413"/>
    <x v="413"/>
    <x v="5"/>
    <x v="0"/>
    <d v="2023-01-24T00:00:00"/>
    <x v="0"/>
    <n v="11863"/>
    <n v="3622"/>
    <n v="3.98"/>
    <n v="31"/>
  </r>
  <r>
    <x v="414"/>
    <x v="414"/>
    <x v="1"/>
    <x v="0"/>
    <d v="2022-12-11T00:00:00"/>
    <x v="0"/>
    <n v="2264"/>
    <n v="9265"/>
    <n v="2.16"/>
    <n v="73"/>
  </r>
  <r>
    <x v="415"/>
    <x v="415"/>
    <x v="2"/>
    <x v="2"/>
    <d v="2022-12-04T00:00:00"/>
    <x v="0"/>
    <n v="10950"/>
    <n v="9633"/>
    <n v="2.75"/>
    <n v="103"/>
  </r>
  <r>
    <x v="416"/>
    <x v="416"/>
    <x v="6"/>
    <x v="1"/>
    <d v="2022-09-22T00:00:00"/>
    <x v="0"/>
    <n v="14054"/>
    <n v="2816"/>
    <n v="3.16"/>
    <n v="72"/>
  </r>
  <r>
    <x v="417"/>
    <x v="417"/>
    <x v="1"/>
    <x v="0"/>
    <d v="2022-09-18T00:00:00"/>
    <x v="0"/>
    <n v="3844"/>
    <n v="3972"/>
    <n v="2.31"/>
    <n v="57"/>
  </r>
  <r>
    <x v="418"/>
    <x v="418"/>
    <x v="1"/>
    <x v="3"/>
    <d v="2022-03-07T00:00:00"/>
    <x v="1"/>
    <n v="5442"/>
    <n v="4647"/>
    <n v="2.83"/>
    <n v="23"/>
  </r>
  <r>
    <x v="419"/>
    <x v="419"/>
    <x v="4"/>
    <x v="1"/>
    <d v="2022-07-03T00:00:00"/>
    <x v="0"/>
    <n v="6199"/>
    <n v="3078"/>
    <n v="3.4"/>
    <n v="118"/>
  </r>
  <r>
    <x v="420"/>
    <x v="420"/>
    <x v="3"/>
    <x v="1"/>
    <d v="2024-04-12T00:00:00"/>
    <x v="0"/>
    <n v="14814"/>
    <n v="8975"/>
    <n v="3.52"/>
    <n v="109"/>
  </r>
  <r>
    <x v="421"/>
    <x v="421"/>
    <x v="0"/>
    <x v="3"/>
    <d v="2023-11-17T00:00:00"/>
    <x v="1"/>
    <n v="7031"/>
    <n v="1727"/>
    <n v="3.48"/>
    <n v="25"/>
  </r>
  <r>
    <x v="422"/>
    <x v="422"/>
    <x v="5"/>
    <x v="0"/>
    <d v="2022-07-16T00:00:00"/>
    <x v="0"/>
    <n v="12388"/>
    <n v="9027"/>
    <n v="2.42"/>
    <n v="93"/>
  </r>
  <r>
    <x v="423"/>
    <x v="423"/>
    <x v="6"/>
    <x v="0"/>
    <d v="2024-01-12T00:00:00"/>
    <x v="1"/>
    <n v="12003"/>
    <n v="6828"/>
    <n v="3.79"/>
    <n v="69"/>
  </r>
  <r>
    <x v="424"/>
    <x v="424"/>
    <x v="1"/>
    <x v="2"/>
    <d v="2023-07-12T00:00:00"/>
    <x v="0"/>
    <n v="11667"/>
    <n v="4710"/>
    <n v="2.02"/>
    <n v="45"/>
  </r>
  <r>
    <x v="425"/>
    <x v="425"/>
    <x v="3"/>
    <x v="3"/>
    <d v="2022-06-02T00:00:00"/>
    <x v="0"/>
    <n v="12437"/>
    <n v="4916"/>
    <n v="2.25"/>
    <n v="3"/>
  </r>
  <r>
    <x v="426"/>
    <x v="426"/>
    <x v="4"/>
    <x v="1"/>
    <d v="2024-05-30T00:00:00"/>
    <x v="0"/>
    <n v="7135"/>
    <n v="4567"/>
    <n v="3.08"/>
    <n v="66"/>
  </r>
  <r>
    <x v="427"/>
    <x v="427"/>
    <x v="3"/>
    <x v="0"/>
    <d v="2023-02-12T00:00:00"/>
    <x v="2"/>
    <n v="13450"/>
    <n v="2890"/>
    <n v="2.15"/>
    <n v="45"/>
  </r>
  <r>
    <x v="428"/>
    <x v="428"/>
    <x v="3"/>
    <x v="0"/>
    <d v="2023-02-11T00:00:00"/>
    <x v="1"/>
    <n v="4844"/>
    <n v="4629"/>
    <n v="3.53"/>
    <n v="42"/>
  </r>
  <r>
    <x v="429"/>
    <x v="429"/>
    <x v="4"/>
    <x v="1"/>
    <d v="2023-03-16T00:00:00"/>
    <x v="0"/>
    <n v="6230"/>
    <n v="9993"/>
    <n v="3.22"/>
    <n v="54"/>
  </r>
  <r>
    <x v="430"/>
    <x v="430"/>
    <x v="3"/>
    <x v="1"/>
    <d v="2022-01-16T00:00:00"/>
    <x v="0"/>
    <n v="8045"/>
    <n v="9544"/>
    <n v="3.7"/>
    <n v="112"/>
  </r>
  <r>
    <x v="431"/>
    <x v="431"/>
    <x v="3"/>
    <x v="2"/>
    <d v="2023-05-14T00:00:00"/>
    <x v="0"/>
    <n v="14341"/>
    <n v="3156"/>
    <n v="3.45"/>
    <n v="34"/>
  </r>
  <r>
    <x v="432"/>
    <x v="432"/>
    <x v="0"/>
    <x v="0"/>
    <d v="2023-09-17T00:00:00"/>
    <x v="2"/>
    <n v="12361"/>
    <n v="7447"/>
    <n v="2.37"/>
    <n v="62"/>
  </r>
  <r>
    <x v="433"/>
    <x v="433"/>
    <x v="1"/>
    <x v="1"/>
    <d v="2023-06-23T00:00:00"/>
    <x v="0"/>
    <n v="5539"/>
    <n v="4162"/>
    <n v="2.06"/>
    <n v="41"/>
  </r>
  <r>
    <x v="434"/>
    <x v="434"/>
    <x v="2"/>
    <x v="1"/>
    <d v="2023-07-04T00:00:00"/>
    <x v="1"/>
    <n v="9848"/>
    <n v="4265"/>
    <n v="3.47"/>
    <n v="24"/>
  </r>
  <r>
    <x v="435"/>
    <x v="435"/>
    <x v="3"/>
    <x v="2"/>
    <d v="2022-07-21T00:00:00"/>
    <x v="0"/>
    <n v="3572"/>
    <n v="2564"/>
    <n v="2.58"/>
    <n v="15"/>
  </r>
  <r>
    <x v="436"/>
    <x v="436"/>
    <x v="6"/>
    <x v="2"/>
    <d v="2024-03-31T00:00:00"/>
    <x v="0"/>
    <n v="10473"/>
    <n v="6758"/>
    <n v="2.06"/>
    <n v="89"/>
  </r>
  <r>
    <x v="437"/>
    <x v="437"/>
    <x v="6"/>
    <x v="0"/>
    <d v="2024-04-02T00:00:00"/>
    <x v="0"/>
    <n v="14206"/>
    <n v="7664"/>
    <n v="2.93"/>
    <n v="107"/>
  </r>
  <r>
    <x v="438"/>
    <x v="438"/>
    <x v="4"/>
    <x v="0"/>
    <d v="2023-04-11T00:00:00"/>
    <x v="0"/>
    <n v="13152"/>
    <n v="5009"/>
    <n v="3.55"/>
    <n v="32"/>
  </r>
  <r>
    <x v="439"/>
    <x v="439"/>
    <x v="7"/>
    <x v="1"/>
    <d v="2023-07-29T00:00:00"/>
    <x v="0"/>
    <n v="4765"/>
    <n v="8911"/>
    <n v="3.2"/>
    <n v="98"/>
  </r>
  <r>
    <x v="440"/>
    <x v="440"/>
    <x v="0"/>
    <x v="3"/>
    <d v="2022-11-20T00:00:00"/>
    <x v="0"/>
    <n v="5955"/>
    <n v="2658"/>
    <n v="2.09"/>
    <n v="28"/>
  </r>
  <r>
    <x v="441"/>
    <x v="441"/>
    <x v="6"/>
    <x v="2"/>
    <d v="2024-05-03T00:00:00"/>
    <x v="0"/>
    <n v="7836"/>
    <n v="4315"/>
    <n v="3.51"/>
    <n v="21"/>
  </r>
  <r>
    <x v="442"/>
    <x v="442"/>
    <x v="6"/>
    <x v="2"/>
    <d v="2023-11-14T00:00:00"/>
    <x v="2"/>
    <n v="5721"/>
    <n v="2408"/>
    <n v="2.65"/>
    <n v="95"/>
  </r>
  <r>
    <x v="443"/>
    <x v="443"/>
    <x v="1"/>
    <x v="2"/>
    <d v="2023-04-04T00:00:00"/>
    <x v="0"/>
    <n v="11681"/>
    <n v="8380"/>
    <n v="2.21"/>
    <n v="116"/>
  </r>
  <r>
    <x v="444"/>
    <x v="444"/>
    <x v="7"/>
    <x v="0"/>
    <d v="2022-12-17T00:00:00"/>
    <x v="0"/>
    <n v="12943"/>
    <n v="5191"/>
    <n v="2.0099999999999998"/>
    <n v="47"/>
  </r>
  <r>
    <x v="445"/>
    <x v="445"/>
    <x v="7"/>
    <x v="0"/>
    <d v="2024-06-01T00:00:00"/>
    <x v="2"/>
    <n v="5062"/>
    <n v="5198"/>
    <n v="2.69"/>
    <n v="20"/>
  </r>
  <r>
    <x v="446"/>
    <x v="446"/>
    <x v="4"/>
    <x v="0"/>
    <d v="2023-05-09T00:00:00"/>
    <x v="0"/>
    <n v="12038"/>
    <n v="5910"/>
    <n v="3.02"/>
    <n v="117"/>
  </r>
  <r>
    <x v="447"/>
    <x v="447"/>
    <x v="2"/>
    <x v="3"/>
    <d v="2022-03-07T00:00:00"/>
    <x v="0"/>
    <n v="12484"/>
    <n v="3462"/>
    <n v="2.93"/>
    <n v="41"/>
  </r>
  <r>
    <x v="448"/>
    <x v="448"/>
    <x v="1"/>
    <x v="1"/>
    <d v="2022-06-18T00:00:00"/>
    <x v="0"/>
    <n v="10278"/>
    <n v="9891"/>
    <n v="3.9"/>
    <n v="105"/>
  </r>
  <r>
    <x v="449"/>
    <x v="449"/>
    <x v="5"/>
    <x v="3"/>
    <d v="2024-04-25T00:00:00"/>
    <x v="1"/>
    <n v="14666"/>
    <n v="8402"/>
    <n v="3.55"/>
    <n v="22"/>
  </r>
  <r>
    <x v="450"/>
    <x v="450"/>
    <x v="7"/>
    <x v="3"/>
    <d v="2023-04-11T00:00:00"/>
    <x v="0"/>
    <n v="5773"/>
    <n v="2234"/>
    <n v="3.22"/>
    <n v="1"/>
  </r>
  <r>
    <x v="451"/>
    <x v="451"/>
    <x v="1"/>
    <x v="0"/>
    <d v="2023-07-28T00:00:00"/>
    <x v="1"/>
    <n v="14561"/>
    <n v="2548"/>
    <n v="2.78"/>
    <n v="73"/>
  </r>
  <r>
    <x v="452"/>
    <x v="452"/>
    <x v="1"/>
    <x v="3"/>
    <d v="2022-04-14T00:00:00"/>
    <x v="0"/>
    <n v="10266"/>
    <n v="7787"/>
    <n v="2.36"/>
    <n v="97"/>
  </r>
  <r>
    <x v="453"/>
    <x v="453"/>
    <x v="7"/>
    <x v="3"/>
    <d v="2023-09-08T00:00:00"/>
    <x v="0"/>
    <n v="7631"/>
    <n v="3737"/>
    <n v="3.84"/>
    <n v="84"/>
  </r>
  <r>
    <x v="454"/>
    <x v="454"/>
    <x v="1"/>
    <x v="0"/>
    <d v="2022-02-14T00:00:00"/>
    <x v="2"/>
    <n v="8113"/>
    <n v="5772"/>
    <n v="2.13"/>
    <n v="23"/>
  </r>
  <r>
    <x v="455"/>
    <x v="455"/>
    <x v="6"/>
    <x v="2"/>
    <d v="2022-01-20T00:00:00"/>
    <x v="2"/>
    <n v="8188"/>
    <n v="5814"/>
    <n v="3.94"/>
    <n v="48"/>
  </r>
  <r>
    <x v="456"/>
    <x v="456"/>
    <x v="5"/>
    <x v="0"/>
    <d v="2024-04-15T00:00:00"/>
    <x v="0"/>
    <n v="11072"/>
    <n v="3466"/>
    <n v="2.4700000000000002"/>
    <n v="2"/>
  </r>
  <r>
    <x v="457"/>
    <x v="457"/>
    <x v="3"/>
    <x v="2"/>
    <d v="2024-02-16T00:00:00"/>
    <x v="0"/>
    <n v="10070"/>
    <n v="6381"/>
    <n v="2.36"/>
    <n v="111"/>
  </r>
  <r>
    <x v="458"/>
    <x v="458"/>
    <x v="3"/>
    <x v="1"/>
    <d v="2022-03-28T00:00:00"/>
    <x v="1"/>
    <n v="10311"/>
    <n v="1376"/>
    <n v="2.76"/>
    <n v="104"/>
  </r>
  <r>
    <x v="459"/>
    <x v="459"/>
    <x v="5"/>
    <x v="2"/>
    <d v="2024-01-17T00:00:00"/>
    <x v="0"/>
    <n v="7796"/>
    <n v="7561"/>
    <n v="2.42"/>
    <n v="102"/>
  </r>
  <r>
    <x v="460"/>
    <x v="460"/>
    <x v="1"/>
    <x v="1"/>
    <d v="2024-03-15T00:00:00"/>
    <x v="0"/>
    <n v="3923"/>
    <n v="9125"/>
    <n v="3.36"/>
    <n v="63"/>
  </r>
  <r>
    <x v="461"/>
    <x v="461"/>
    <x v="7"/>
    <x v="1"/>
    <d v="2023-02-11T00:00:00"/>
    <x v="1"/>
    <n v="11697"/>
    <n v="6392"/>
    <n v="2.61"/>
    <n v="3"/>
  </r>
  <r>
    <x v="462"/>
    <x v="462"/>
    <x v="4"/>
    <x v="1"/>
    <d v="2024-05-28T00:00:00"/>
    <x v="0"/>
    <n v="2666"/>
    <n v="2729"/>
    <n v="2.94"/>
    <n v="10"/>
  </r>
  <r>
    <x v="463"/>
    <x v="463"/>
    <x v="0"/>
    <x v="3"/>
    <d v="2022-03-30T00:00:00"/>
    <x v="0"/>
    <n v="7947"/>
    <n v="1"/>
    <n v="3.25"/>
    <n v="60"/>
  </r>
  <r>
    <x v="464"/>
    <x v="464"/>
    <x v="2"/>
    <x v="2"/>
    <d v="2023-02-26T00:00:00"/>
    <x v="1"/>
    <n v="10596"/>
    <n v="9803"/>
    <n v="2.16"/>
    <n v="118"/>
  </r>
  <r>
    <x v="465"/>
    <x v="465"/>
    <x v="6"/>
    <x v="2"/>
    <d v="2022-09-03T00:00:00"/>
    <x v="0"/>
    <n v="8634"/>
    <n v="3087"/>
    <n v="3.44"/>
    <n v="41"/>
  </r>
  <r>
    <x v="466"/>
    <x v="466"/>
    <x v="4"/>
    <x v="2"/>
    <d v="2023-05-14T00:00:00"/>
    <x v="1"/>
    <n v="10367"/>
    <n v="4879"/>
    <n v="3.24"/>
    <n v="110"/>
  </r>
  <r>
    <x v="467"/>
    <x v="467"/>
    <x v="1"/>
    <x v="0"/>
    <d v="2022-07-23T00:00:00"/>
    <x v="1"/>
    <n v="10339"/>
    <n v="2913"/>
    <n v="2.92"/>
    <n v="49"/>
  </r>
  <r>
    <x v="468"/>
    <x v="468"/>
    <x v="7"/>
    <x v="0"/>
    <d v="2024-02-17T00:00:00"/>
    <x v="1"/>
    <n v="5503"/>
    <n v="9605"/>
    <n v="3.96"/>
    <n v="35"/>
  </r>
  <r>
    <x v="469"/>
    <x v="469"/>
    <x v="3"/>
    <x v="1"/>
    <d v="2023-03-12T00:00:00"/>
    <x v="1"/>
    <n v="7289"/>
    <n v="3200"/>
    <n v="3.83"/>
    <n v="73"/>
  </r>
  <r>
    <x v="470"/>
    <x v="470"/>
    <x v="3"/>
    <x v="0"/>
    <d v="2022-05-03T00:00:00"/>
    <x v="0"/>
    <n v="11474"/>
    <n v="6902"/>
    <n v="3.46"/>
    <n v="91"/>
  </r>
  <r>
    <x v="471"/>
    <x v="471"/>
    <x v="4"/>
    <x v="0"/>
    <d v="2024-05-04T00:00:00"/>
    <x v="2"/>
    <n v="10970"/>
    <n v="8625"/>
    <n v="3.51"/>
    <n v="9"/>
  </r>
  <r>
    <x v="472"/>
    <x v="472"/>
    <x v="3"/>
    <x v="0"/>
    <d v="2023-11-30T00:00:00"/>
    <x v="1"/>
    <n v="10927"/>
    <n v="1469"/>
    <n v="3.19"/>
    <n v="31"/>
  </r>
  <r>
    <x v="473"/>
    <x v="473"/>
    <x v="5"/>
    <x v="3"/>
    <d v="2022-07-23T00:00:00"/>
    <x v="0"/>
    <n v="8469"/>
    <n v="371"/>
    <n v="3.71"/>
    <n v="9"/>
  </r>
  <r>
    <x v="474"/>
    <x v="474"/>
    <x v="7"/>
    <x v="2"/>
    <d v="2022-07-03T00:00:00"/>
    <x v="0"/>
    <n v="13334"/>
    <n v="2799"/>
    <n v="3.97"/>
    <n v="57"/>
  </r>
  <r>
    <x v="475"/>
    <x v="475"/>
    <x v="3"/>
    <x v="3"/>
    <d v="2022-11-16T00:00:00"/>
    <x v="0"/>
    <n v="11400"/>
    <n v="8573"/>
    <n v="2.76"/>
    <n v="0"/>
  </r>
  <r>
    <x v="476"/>
    <x v="476"/>
    <x v="0"/>
    <x v="1"/>
    <d v="2022-11-11T00:00:00"/>
    <x v="0"/>
    <n v="11931"/>
    <n v="6007"/>
    <n v="3.96"/>
    <n v="8"/>
  </r>
  <r>
    <x v="477"/>
    <x v="477"/>
    <x v="2"/>
    <x v="3"/>
    <d v="2022-10-29T00:00:00"/>
    <x v="0"/>
    <n v="12019"/>
    <n v="8711"/>
    <n v="3.97"/>
    <n v="12"/>
  </r>
  <r>
    <x v="478"/>
    <x v="478"/>
    <x v="7"/>
    <x v="2"/>
    <d v="2022-07-14T00:00:00"/>
    <x v="0"/>
    <n v="6419"/>
    <n v="1464"/>
    <n v="2.97"/>
    <n v="93"/>
  </r>
  <r>
    <x v="479"/>
    <x v="479"/>
    <x v="3"/>
    <x v="2"/>
    <d v="2023-05-24T00:00:00"/>
    <x v="1"/>
    <n v="3561"/>
    <n v="6640"/>
    <n v="2.02"/>
    <n v="63"/>
  </r>
  <r>
    <x v="480"/>
    <x v="480"/>
    <x v="1"/>
    <x v="2"/>
    <d v="2022-08-26T00:00:00"/>
    <x v="1"/>
    <n v="3683"/>
    <n v="1441"/>
    <n v="2.31"/>
    <n v="102"/>
  </r>
  <r>
    <x v="481"/>
    <x v="481"/>
    <x v="2"/>
    <x v="3"/>
    <d v="2024-05-12T00:00:00"/>
    <x v="0"/>
    <n v="6365"/>
    <n v="5276"/>
    <n v="3.2"/>
    <n v="20"/>
  </r>
  <r>
    <x v="482"/>
    <x v="482"/>
    <x v="0"/>
    <x v="2"/>
    <d v="2022-10-25T00:00:00"/>
    <x v="1"/>
    <n v="9763"/>
    <n v="308"/>
    <n v="3.25"/>
    <n v="69"/>
  </r>
  <r>
    <x v="483"/>
    <x v="483"/>
    <x v="2"/>
    <x v="0"/>
    <d v="2022-07-23T00:00:00"/>
    <x v="0"/>
    <n v="8244"/>
    <n v="6754"/>
    <n v="3.13"/>
    <n v="20"/>
  </r>
  <r>
    <x v="484"/>
    <x v="484"/>
    <x v="3"/>
    <x v="1"/>
    <d v="2022-01-21T00:00:00"/>
    <x v="1"/>
    <n v="14276"/>
    <n v="4243"/>
    <n v="3.91"/>
    <n v="1"/>
  </r>
  <r>
    <x v="485"/>
    <x v="485"/>
    <x v="4"/>
    <x v="3"/>
    <d v="2022-06-24T00:00:00"/>
    <x v="1"/>
    <n v="5843"/>
    <n v="6177"/>
    <n v="2.09"/>
    <n v="28"/>
  </r>
  <r>
    <x v="486"/>
    <x v="486"/>
    <x v="0"/>
    <x v="0"/>
    <d v="2023-08-02T00:00:00"/>
    <x v="0"/>
    <n v="10937"/>
    <n v="1114"/>
    <n v="2.69"/>
    <n v="109"/>
  </r>
  <r>
    <x v="487"/>
    <x v="487"/>
    <x v="0"/>
    <x v="3"/>
    <d v="2023-08-08T00:00:00"/>
    <x v="0"/>
    <n v="4056"/>
    <n v="332"/>
    <n v="3.81"/>
    <n v="97"/>
  </r>
  <r>
    <x v="488"/>
    <x v="488"/>
    <x v="3"/>
    <x v="1"/>
    <d v="2022-01-31T00:00:00"/>
    <x v="0"/>
    <n v="10757"/>
    <n v="1430"/>
    <n v="3.29"/>
    <n v="93"/>
  </r>
  <r>
    <x v="489"/>
    <x v="489"/>
    <x v="5"/>
    <x v="1"/>
    <d v="2023-10-21T00:00:00"/>
    <x v="0"/>
    <n v="5023"/>
    <n v="6205"/>
    <n v="3.59"/>
    <n v="11"/>
  </r>
  <r>
    <x v="490"/>
    <x v="490"/>
    <x v="5"/>
    <x v="2"/>
    <d v="2024-02-11T00:00:00"/>
    <x v="1"/>
    <n v="6821"/>
    <n v="5563"/>
    <n v="2.02"/>
    <n v="70"/>
  </r>
  <r>
    <x v="491"/>
    <x v="491"/>
    <x v="6"/>
    <x v="3"/>
    <d v="2024-05-13T00:00:00"/>
    <x v="0"/>
    <n v="3545"/>
    <n v="7302"/>
    <n v="2.87"/>
    <n v="12"/>
  </r>
  <r>
    <x v="492"/>
    <x v="492"/>
    <x v="1"/>
    <x v="2"/>
    <d v="2022-11-19T00:00:00"/>
    <x v="0"/>
    <n v="14219"/>
    <n v="7883"/>
    <n v="2.7"/>
    <n v="98"/>
  </r>
  <r>
    <x v="493"/>
    <x v="493"/>
    <x v="4"/>
    <x v="3"/>
    <d v="2022-10-29T00:00:00"/>
    <x v="2"/>
    <n v="3235"/>
    <n v="1111"/>
    <n v="2.4300000000000002"/>
    <n v="119"/>
  </r>
  <r>
    <x v="494"/>
    <x v="494"/>
    <x v="5"/>
    <x v="2"/>
    <d v="2022-09-13T00:00:00"/>
    <x v="0"/>
    <n v="12764"/>
    <n v="1814"/>
    <n v="2.37"/>
    <n v="108"/>
  </r>
  <r>
    <x v="495"/>
    <x v="495"/>
    <x v="4"/>
    <x v="0"/>
    <d v="2023-11-26T00:00:00"/>
    <x v="1"/>
    <n v="7033"/>
    <n v="3416"/>
    <n v="3.51"/>
    <n v="7"/>
  </r>
  <r>
    <x v="496"/>
    <x v="496"/>
    <x v="3"/>
    <x v="2"/>
    <d v="2022-03-29T00:00:00"/>
    <x v="2"/>
    <n v="13290"/>
    <n v="1862"/>
    <n v="2.39"/>
    <n v="75"/>
  </r>
  <r>
    <x v="497"/>
    <x v="497"/>
    <x v="0"/>
    <x v="0"/>
    <d v="2022-07-15T00:00:00"/>
    <x v="0"/>
    <n v="12663"/>
    <n v="4913"/>
    <n v="3.59"/>
    <n v="110"/>
  </r>
  <r>
    <x v="498"/>
    <x v="498"/>
    <x v="7"/>
    <x v="3"/>
    <d v="2023-08-11T00:00:00"/>
    <x v="1"/>
    <n v="3630"/>
    <n v="8783"/>
    <n v="2.73"/>
    <n v="67"/>
  </r>
  <r>
    <x v="499"/>
    <x v="499"/>
    <x v="7"/>
    <x v="3"/>
    <d v="2023-03-06T00:00:00"/>
    <x v="0"/>
    <n v="14263"/>
    <n v="2162"/>
    <n v="3.8"/>
    <n v="53"/>
  </r>
  <r>
    <x v="500"/>
    <x v="500"/>
    <x v="2"/>
    <x v="2"/>
    <d v="2023-06-20T00:00:00"/>
    <x v="1"/>
    <n v="12155"/>
    <n v="8128"/>
    <n v="3.28"/>
    <n v="21"/>
  </r>
  <r>
    <x v="501"/>
    <x v="501"/>
    <x v="4"/>
    <x v="1"/>
    <d v="2024-02-06T00:00:00"/>
    <x v="1"/>
    <n v="4867"/>
    <n v="7702"/>
    <n v="3.52"/>
    <n v="1"/>
  </r>
  <r>
    <x v="502"/>
    <x v="502"/>
    <x v="5"/>
    <x v="1"/>
    <d v="2022-01-17T00:00:00"/>
    <x v="1"/>
    <n v="13284"/>
    <n v="5926"/>
    <n v="2.25"/>
    <n v="48"/>
  </r>
  <r>
    <x v="503"/>
    <x v="503"/>
    <x v="1"/>
    <x v="3"/>
    <d v="2022-05-10T00:00:00"/>
    <x v="0"/>
    <n v="10971"/>
    <n v="3693"/>
    <n v="3.43"/>
    <n v="67"/>
  </r>
  <r>
    <x v="504"/>
    <x v="504"/>
    <x v="5"/>
    <x v="2"/>
    <d v="2023-06-14T00:00:00"/>
    <x v="0"/>
    <n v="10845"/>
    <n v="3885"/>
    <n v="3.24"/>
    <n v="73"/>
  </r>
  <r>
    <x v="505"/>
    <x v="505"/>
    <x v="4"/>
    <x v="2"/>
    <d v="2022-05-18T00:00:00"/>
    <x v="2"/>
    <n v="3925"/>
    <n v="9799"/>
    <n v="2.62"/>
    <n v="73"/>
  </r>
  <r>
    <x v="506"/>
    <x v="506"/>
    <x v="2"/>
    <x v="1"/>
    <d v="2023-12-14T00:00:00"/>
    <x v="1"/>
    <n v="9717"/>
    <n v="1531"/>
    <n v="3.9"/>
    <n v="15"/>
  </r>
  <r>
    <x v="507"/>
    <x v="507"/>
    <x v="1"/>
    <x v="1"/>
    <d v="2023-10-12T00:00:00"/>
    <x v="1"/>
    <n v="9611"/>
    <n v="6838"/>
    <n v="3.3"/>
    <n v="94"/>
  </r>
  <r>
    <x v="508"/>
    <x v="508"/>
    <x v="6"/>
    <x v="1"/>
    <d v="2023-12-29T00:00:00"/>
    <x v="1"/>
    <n v="7850"/>
    <n v="5788"/>
    <n v="2.58"/>
    <n v="14"/>
  </r>
  <r>
    <x v="509"/>
    <x v="509"/>
    <x v="0"/>
    <x v="0"/>
    <d v="2023-02-24T00:00:00"/>
    <x v="0"/>
    <n v="13973"/>
    <n v="1742"/>
    <n v="2.1"/>
    <n v="10"/>
  </r>
  <r>
    <x v="510"/>
    <x v="510"/>
    <x v="6"/>
    <x v="2"/>
    <d v="2024-01-27T00:00:00"/>
    <x v="0"/>
    <n v="9294"/>
    <n v="6415"/>
    <n v="3.38"/>
    <n v="57"/>
  </r>
  <r>
    <x v="511"/>
    <x v="511"/>
    <x v="4"/>
    <x v="0"/>
    <d v="2022-07-29T00:00:00"/>
    <x v="1"/>
    <n v="9133"/>
    <n v="2906"/>
    <n v="2.85"/>
    <n v="42"/>
  </r>
  <r>
    <x v="512"/>
    <x v="512"/>
    <x v="4"/>
    <x v="0"/>
    <d v="2024-04-18T00:00:00"/>
    <x v="2"/>
    <n v="9782"/>
    <n v="2085"/>
    <n v="2.36"/>
    <n v="66"/>
  </r>
  <r>
    <x v="513"/>
    <x v="513"/>
    <x v="0"/>
    <x v="0"/>
    <d v="2024-06-13T00:00:00"/>
    <x v="1"/>
    <n v="5574"/>
    <n v="6633"/>
    <n v="2.82"/>
    <n v="1"/>
  </r>
  <r>
    <x v="514"/>
    <x v="514"/>
    <x v="1"/>
    <x v="3"/>
    <d v="2022-01-17T00:00:00"/>
    <x v="0"/>
    <n v="6629"/>
    <n v="3439"/>
    <n v="3.83"/>
    <n v="31"/>
  </r>
  <r>
    <x v="515"/>
    <x v="515"/>
    <x v="4"/>
    <x v="1"/>
    <d v="2022-11-24T00:00:00"/>
    <x v="0"/>
    <n v="10972"/>
    <n v="8709"/>
    <n v="2.56"/>
    <n v="15"/>
  </r>
  <r>
    <x v="516"/>
    <x v="516"/>
    <x v="2"/>
    <x v="1"/>
    <d v="2022-01-31T00:00:00"/>
    <x v="1"/>
    <n v="14926"/>
    <n v="7700"/>
    <n v="4"/>
    <n v="97"/>
  </r>
  <r>
    <x v="517"/>
    <x v="517"/>
    <x v="5"/>
    <x v="2"/>
    <d v="2024-03-25T00:00:00"/>
    <x v="0"/>
    <n v="4128"/>
    <n v="3535"/>
    <n v="3.48"/>
    <n v="32"/>
  </r>
  <r>
    <x v="518"/>
    <x v="518"/>
    <x v="6"/>
    <x v="3"/>
    <d v="2024-03-23T00:00:00"/>
    <x v="0"/>
    <n v="3774"/>
    <n v="3406"/>
    <n v="3.35"/>
    <n v="63"/>
  </r>
  <r>
    <x v="519"/>
    <x v="519"/>
    <x v="6"/>
    <x v="3"/>
    <d v="2022-10-24T00:00:00"/>
    <x v="0"/>
    <n v="9643"/>
    <n v="431"/>
    <n v="3.6"/>
    <n v="26"/>
  </r>
  <r>
    <x v="520"/>
    <x v="520"/>
    <x v="3"/>
    <x v="3"/>
    <d v="2022-06-20T00:00:00"/>
    <x v="1"/>
    <n v="9016"/>
    <n v="3228"/>
    <n v="3.24"/>
    <n v="62"/>
  </r>
  <r>
    <x v="521"/>
    <x v="521"/>
    <x v="7"/>
    <x v="1"/>
    <d v="2024-06-15T00:00:00"/>
    <x v="0"/>
    <n v="6221"/>
    <n v="5210"/>
    <n v="3.38"/>
    <n v="103"/>
  </r>
  <r>
    <x v="522"/>
    <x v="522"/>
    <x v="3"/>
    <x v="3"/>
    <d v="2022-04-10T00:00:00"/>
    <x v="0"/>
    <n v="3532"/>
    <n v="5236"/>
    <n v="3.48"/>
    <n v="115"/>
  </r>
  <r>
    <x v="523"/>
    <x v="523"/>
    <x v="5"/>
    <x v="2"/>
    <d v="2024-06-05T00:00:00"/>
    <x v="0"/>
    <n v="9455"/>
    <n v="1102"/>
    <n v="2.98"/>
    <n v="15"/>
  </r>
  <r>
    <x v="524"/>
    <x v="524"/>
    <x v="0"/>
    <x v="2"/>
    <d v="2024-06-09T00:00:00"/>
    <x v="1"/>
    <n v="4219"/>
    <n v="6695"/>
    <n v="2.4300000000000002"/>
    <n v="79"/>
  </r>
  <r>
    <x v="525"/>
    <x v="525"/>
    <x v="5"/>
    <x v="1"/>
    <d v="2022-06-01T00:00:00"/>
    <x v="0"/>
    <n v="2395"/>
    <n v="5019"/>
    <n v="2.34"/>
    <n v="53"/>
  </r>
  <r>
    <x v="526"/>
    <x v="526"/>
    <x v="4"/>
    <x v="2"/>
    <d v="2023-11-19T00:00:00"/>
    <x v="2"/>
    <n v="9775"/>
    <n v="3000"/>
    <n v="3.2"/>
    <n v="32"/>
  </r>
  <r>
    <x v="527"/>
    <x v="527"/>
    <x v="1"/>
    <x v="3"/>
    <d v="2022-01-21T00:00:00"/>
    <x v="0"/>
    <n v="4629"/>
    <n v="3746"/>
    <n v="3.38"/>
    <n v="34"/>
  </r>
  <r>
    <x v="528"/>
    <x v="528"/>
    <x v="2"/>
    <x v="2"/>
    <d v="2022-01-09T00:00:00"/>
    <x v="0"/>
    <n v="7248"/>
    <n v="9409"/>
    <n v="2.7"/>
    <n v="49"/>
  </r>
  <r>
    <x v="529"/>
    <x v="529"/>
    <x v="0"/>
    <x v="3"/>
    <d v="2023-09-25T00:00:00"/>
    <x v="1"/>
    <n v="4602"/>
    <n v="4429"/>
    <n v="3.6"/>
    <n v="67"/>
  </r>
  <r>
    <x v="530"/>
    <x v="530"/>
    <x v="6"/>
    <x v="2"/>
    <d v="2024-03-03T00:00:00"/>
    <x v="0"/>
    <n v="10379"/>
    <n v="4077"/>
    <n v="3.5"/>
    <n v="76"/>
  </r>
  <r>
    <x v="531"/>
    <x v="531"/>
    <x v="5"/>
    <x v="0"/>
    <d v="2022-09-20T00:00:00"/>
    <x v="1"/>
    <n v="11404"/>
    <n v="8999"/>
    <n v="2.9"/>
    <n v="81"/>
  </r>
  <r>
    <x v="532"/>
    <x v="532"/>
    <x v="2"/>
    <x v="3"/>
    <d v="2022-09-17T00:00:00"/>
    <x v="0"/>
    <n v="2748"/>
    <n v="9068"/>
    <n v="3.73"/>
    <n v="89"/>
  </r>
  <r>
    <x v="533"/>
    <x v="533"/>
    <x v="5"/>
    <x v="2"/>
    <d v="2023-08-20T00:00:00"/>
    <x v="0"/>
    <n v="14781"/>
    <n v="7325"/>
    <n v="3.22"/>
    <n v="79"/>
  </r>
  <r>
    <x v="534"/>
    <x v="534"/>
    <x v="6"/>
    <x v="3"/>
    <d v="2023-10-16T00:00:00"/>
    <x v="0"/>
    <n v="8468"/>
    <n v="802"/>
    <n v="2.74"/>
    <n v="117"/>
  </r>
  <r>
    <x v="535"/>
    <x v="535"/>
    <x v="2"/>
    <x v="3"/>
    <d v="2022-10-30T00:00:00"/>
    <x v="2"/>
    <n v="3482"/>
    <n v="2557"/>
    <n v="3.67"/>
    <n v="62"/>
  </r>
  <r>
    <x v="536"/>
    <x v="536"/>
    <x v="0"/>
    <x v="1"/>
    <d v="2022-09-12T00:00:00"/>
    <x v="1"/>
    <n v="10273"/>
    <n v="782"/>
    <n v="2.9"/>
    <n v="59"/>
  </r>
  <r>
    <x v="537"/>
    <x v="537"/>
    <x v="6"/>
    <x v="0"/>
    <d v="2022-11-13T00:00:00"/>
    <x v="0"/>
    <n v="3359"/>
    <n v="7027"/>
    <n v="2.0499999999999998"/>
    <n v="73"/>
  </r>
  <r>
    <x v="538"/>
    <x v="538"/>
    <x v="2"/>
    <x v="2"/>
    <d v="2024-03-21T00:00:00"/>
    <x v="0"/>
    <n v="12403"/>
    <n v="6720"/>
    <n v="2.15"/>
    <n v="48"/>
  </r>
  <r>
    <x v="539"/>
    <x v="539"/>
    <x v="6"/>
    <x v="1"/>
    <d v="2023-08-18T00:00:00"/>
    <x v="2"/>
    <n v="14781"/>
    <n v="8496"/>
    <n v="2.42"/>
    <n v="16"/>
  </r>
  <r>
    <x v="540"/>
    <x v="540"/>
    <x v="3"/>
    <x v="1"/>
    <d v="2022-01-15T00:00:00"/>
    <x v="2"/>
    <n v="11844"/>
    <n v="3086"/>
    <n v="2.65"/>
    <n v="115"/>
  </r>
  <r>
    <x v="541"/>
    <x v="541"/>
    <x v="3"/>
    <x v="3"/>
    <d v="2022-07-11T00:00:00"/>
    <x v="0"/>
    <n v="13562"/>
    <n v="378"/>
    <n v="2.88"/>
    <n v="83"/>
  </r>
  <r>
    <x v="542"/>
    <x v="542"/>
    <x v="4"/>
    <x v="1"/>
    <d v="2022-01-24T00:00:00"/>
    <x v="0"/>
    <n v="6188"/>
    <n v="3078"/>
    <n v="3.67"/>
    <n v="45"/>
  </r>
  <r>
    <x v="543"/>
    <x v="543"/>
    <x v="6"/>
    <x v="3"/>
    <d v="2023-12-16T00:00:00"/>
    <x v="0"/>
    <n v="9594"/>
    <n v="2423"/>
    <n v="2.1"/>
    <n v="96"/>
  </r>
  <r>
    <x v="544"/>
    <x v="544"/>
    <x v="6"/>
    <x v="0"/>
    <d v="2023-06-05T00:00:00"/>
    <x v="2"/>
    <n v="11109"/>
    <n v="8899"/>
    <n v="3.47"/>
    <n v="109"/>
  </r>
  <r>
    <x v="545"/>
    <x v="545"/>
    <x v="4"/>
    <x v="1"/>
    <d v="2023-05-31T00:00:00"/>
    <x v="0"/>
    <n v="13950"/>
    <n v="6684"/>
    <n v="2.37"/>
    <n v="103"/>
  </r>
  <r>
    <x v="546"/>
    <x v="546"/>
    <x v="3"/>
    <x v="1"/>
    <d v="2023-03-04T00:00:00"/>
    <x v="0"/>
    <n v="13070"/>
    <n v="5252"/>
    <n v="2.19"/>
    <n v="94"/>
  </r>
  <r>
    <x v="547"/>
    <x v="547"/>
    <x v="7"/>
    <x v="2"/>
    <d v="2022-04-22T00:00:00"/>
    <x v="2"/>
    <n v="6161"/>
    <n v="9625"/>
    <n v="2.84"/>
    <n v="50"/>
  </r>
  <r>
    <x v="548"/>
    <x v="548"/>
    <x v="4"/>
    <x v="0"/>
    <d v="2023-05-06T00:00:00"/>
    <x v="1"/>
    <n v="14816"/>
    <n v="1546"/>
    <n v="3.69"/>
    <n v="31"/>
  </r>
  <r>
    <x v="549"/>
    <x v="549"/>
    <x v="1"/>
    <x v="1"/>
    <d v="2024-02-28T00:00:00"/>
    <x v="1"/>
    <n v="4781"/>
    <n v="667"/>
    <n v="3.11"/>
    <n v="32"/>
  </r>
  <r>
    <x v="550"/>
    <x v="550"/>
    <x v="0"/>
    <x v="0"/>
    <d v="2024-05-16T00:00:00"/>
    <x v="2"/>
    <n v="9289"/>
    <n v="4906"/>
    <n v="2.2599999999999998"/>
    <n v="105"/>
  </r>
  <r>
    <x v="551"/>
    <x v="551"/>
    <x v="1"/>
    <x v="2"/>
    <d v="2024-03-19T00:00:00"/>
    <x v="0"/>
    <n v="4151"/>
    <n v="7945"/>
    <n v="3.12"/>
    <n v="45"/>
  </r>
  <r>
    <x v="552"/>
    <x v="552"/>
    <x v="3"/>
    <x v="1"/>
    <d v="2023-02-09T00:00:00"/>
    <x v="1"/>
    <n v="13343"/>
    <n v="4903"/>
    <n v="2.77"/>
    <n v="39"/>
  </r>
  <r>
    <x v="553"/>
    <x v="553"/>
    <x v="3"/>
    <x v="2"/>
    <d v="2023-07-08T00:00:00"/>
    <x v="0"/>
    <n v="2460"/>
    <n v="4560"/>
    <n v="3.8"/>
    <n v="62"/>
  </r>
  <r>
    <x v="554"/>
    <x v="554"/>
    <x v="4"/>
    <x v="0"/>
    <d v="2023-10-05T00:00:00"/>
    <x v="1"/>
    <n v="10553"/>
    <n v="3008"/>
    <n v="2.37"/>
    <n v="3"/>
  </r>
  <r>
    <x v="555"/>
    <x v="555"/>
    <x v="4"/>
    <x v="2"/>
    <d v="2023-05-14T00:00:00"/>
    <x v="1"/>
    <n v="5975"/>
    <n v="3830"/>
    <n v="2.06"/>
    <n v="96"/>
  </r>
  <r>
    <x v="556"/>
    <x v="556"/>
    <x v="4"/>
    <x v="0"/>
    <d v="2024-05-10T00:00:00"/>
    <x v="0"/>
    <n v="9200"/>
    <n v="1956"/>
    <n v="2.95"/>
    <n v="97"/>
  </r>
  <r>
    <x v="557"/>
    <x v="557"/>
    <x v="0"/>
    <x v="0"/>
    <d v="2023-05-19T00:00:00"/>
    <x v="1"/>
    <n v="7875"/>
    <n v="6378"/>
    <n v="2.09"/>
    <n v="90"/>
  </r>
  <r>
    <x v="558"/>
    <x v="558"/>
    <x v="6"/>
    <x v="3"/>
    <d v="2022-06-13T00:00:00"/>
    <x v="0"/>
    <n v="9704"/>
    <n v="8153"/>
    <n v="2.33"/>
    <n v="101"/>
  </r>
  <r>
    <x v="559"/>
    <x v="559"/>
    <x v="7"/>
    <x v="2"/>
    <d v="2022-10-24T00:00:00"/>
    <x v="0"/>
    <n v="13578"/>
    <n v="8755"/>
    <n v="3.16"/>
    <n v="33"/>
  </r>
  <r>
    <x v="560"/>
    <x v="560"/>
    <x v="6"/>
    <x v="0"/>
    <d v="2022-07-10T00:00:00"/>
    <x v="2"/>
    <n v="3192"/>
    <n v="633"/>
    <n v="2.71"/>
    <n v="86"/>
  </r>
  <r>
    <x v="561"/>
    <x v="561"/>
    <x v="1"/>
    <x v="1"/>
    <d v="2023-08-22T00:00:00"/>
    <x v="0"/>
    <n v="7449"/>
    <n v="1118"/>
    <n v="2.88"/>
    <n v="77"/>
  </r>
  <r>
    <x v="562"/>
    <x v="562"/>
    <x v="5"/>
    <x v="2"/>
    <d v="2023-12-06T00:00:00"/>
    <x v="0"/>
    <n v="2638"/>
    <n v="4498"/>
    <n v="3"/>
    <n v="20"/>
  </r>
  <r>
    <x v="563"/>
    <x v="563"/>
    <x v="3"/>
    <x v="3"/>
    <d v="2022-07-10T00:00:00"/>
    <x v="1"/>
    <n v="4665"/>
    <n v="4520"/>
    <n v="3.43"/>
    <n v="81"/>
  </r>
  <r>
    <x v="564"/>
    <x v="564"/>
    <x v="0"/>
    <x v="2"/>
    <d v="2024-01-25T00:00:00"/>
    <x v="2"/>
    <n v="6305"/>
    <n v="7832"/>
    <n v="3.16"/>
    <n v="104"/>
  </r>
  <r>
    <x v="565"/>
    <x v="565"/>
    <x v="0"/>
    <x v="0"/>
    <d v="2022-12-24T00:00:00"/>
    <x v="0"/>
    <n v="5186"/>
    <n v="2277"/>
    <n v="2.34"/>
    <n v="3"/>
  </r>
  <r>
    <x v="566"/>
    <x v="566"/>
    <x v="3"/>
    <x v="3"/>
    <d v="2022-07-30T00:00:00"/>
    <x v="2"/>
    <n v="11323"/>
    <n v="9086"/>
    <n v="3.11"/>
    <n v="89"/>
  </r>
  <r>
    <x v="567"/>
    <x v="567"/>
    <x v="6"/>
    <x v="3"/>
    <d v="2022-07-13T00:00:00"/>
    <x v="0"/>
    <n v="6456"/>
    <n v="5205"/>
    <n v="3.71"/>
    <n v="15"/>
  </r>
  <r>
    <x v="568"/>
    <x v="568"/>
    <x v="3"/>
    <x v="3"/>
    <d v="2022-09-20T00:00:00"/>
    <x v="1"/>
    <n v="3925"/>
    <n v="5671"/>
    <n v="2.15"/>
    <n v="95"/>
  </r>
  <r>
    <x v="569"/>
    <x v="569"/>
    <x v="2"/>
    <x v="2"/>
    <d v="2023-10-04T00:00:00"/>
    <x v="0"/>
    <n v="11329"/>
    <n v="5904"/>
    <n v="2.35"/>
    <n v="35"/>
  </r>
  <r>
    <x v="570"/>
    <x v="570"/>
    <x v="6"/>
    <x v="3"/>
    <d v="2024-03-17T00:00:00"/>
    <x v="0"/>
    <n v="5357"/>
    <n v="1523"/>
    <n v="3.96"/>
    <n v="23"/>
  </r>
  <r>
    <x v="571"/>
    <x v="571"/>
    <x v="2"/>
    <x v="0"/>
    <d v="2023-06-11T00:00:00"/>
    <x v="1"/>
    <n v="10853"/>
    <n v="5377"/>
    <n v="3.52"/>
    <n v="12"/>
  </r>
  <r>
    <x v="572"/>
    <x v="572"/>
    <x v="1"/>
    <x v="0"/>
    <d v="2024-03-11T00:00:00"/>
    <x v="1"/>
    <n v="3136"/>
    <n v="1799"/>
    <n v="3.99"/>
    <n v="94"/>
  </r>
  <r>
    <x v="573"/>
    <x v="573"/>
    <x v="2"/>
    <x v="0"/>
    <d v="2024-02-01T00:00:00"/>
    <x v="0"/>
    <n v="12521"/>
    <n v="6705"/>
    <n v="2.34"/>
    <n v="105"/>
  </r>
  <r>
    <x v="574"/>
    <x v="574"/>
    <x v="2"/>
    <x v="1"/>
    <d v="2023-06-01T00:00:00"/>
    <x v="0"/>
    <n v="8123"/>
    <n v="7824"/>
    <n v="2.29"/>
    <n v="5"/>
  </r>
  <r>
    <x v="575"/>
    <x v="575"/>
    <x v="4"/>
    <x v="3"/>
    <d v="2023-03-22T00:00:00"/>
    <x v="0"/>
    <n v="11134"/>
    <n v="8004"/>
    <n v="2.4500000000000002"/>
    <n v="67"/>
  </r>
  <r>
    <x v="576"/>
    <x v="576"/>
    <x v="5"/>
    <x v="3"/>
    <d v="2024-02-06T00:00:00"/>
    <x v="1"/>
    <n v="5281"/>
    <n v="602"/>
    <n v="2.7"/>
    <n v="20"/>
  </r>
  <r>
    <x v="577"/>
    <x v="577"/>
    <x v="3"/>
    <x v="1"/>
    <d v="2023-05-05T00:00:00"/>
    <x v="0"/>
    <n v="6006"/>
    <n v="3641"/>
    <n v="3.61"/>
    <n v="28"/>
  </r>
  <r>
    <x v="578"/>
    <x v="578"/>
    <x v="4"/>
    <x v="3"/>
    <d v="2024-02-11T00:00:00"/>
    <x v="0"/>
    <n v="12212"/>
    <n v="8831"/>
    <n v="2.0499999999999998"/>
    <n v="69"/>
  </r>
  <r>
    <x v="579"/>
    <x v="579"/>
    <x v="4"/>
    <x v="3"/>
    <d v="2024-03-29T00:00:00"/>
    <x v="0"/>
    <n v="6847"/>
    <n v="6140"/>
    <n v="3.94"/>
    <n v="49"/>
  </r>
  <r>
    <x v="580"/>
    <x v="580"/>
    <x v="0"/>
    <x v="0"/>
    <d v="2023-12-08T00:00:00"/>
    <x v="0"/>
    <n v="6408"/>
    <n v="6290"/>
    <n v="2.67"/>
    <n v="110"/>
  </r>
  <r>
    <x v="581"/>
    <x v="581"/>
    <x v="0"/>
    <x v="2"/>
    <d v="2022-10-12T00:00:00"/>
    <x v="1"/>
    <n v="6458"/>
    <n v="6091"/>
    <n v="3.39"/>
    <n v="52"/>
  </r>
  <r>
    <x v="582"/>
    <x v="582"/>
    <x v="4"/>
    <x v="1"/>
    <d v="2023-07-21T00:00:00"/>
    <x v="0"/>
    <n v="4352"/>
    <n v="2341"/>
    <n v="3.26"/>
    <n v="87"/>
  </r>
  <r>
    <x v="583"/>
    <x v="583"/>
    <x v="0"/>
    <x v="0"/>
    <d v="2024-03-10T00:00:00"/>
    <x v="1"/>
    <n v="4096"/>
    <n v="591"/>
    <n v="2.02"/>
    <n v="49"/>
  </r>
  <r>
    <x v="584"/>
    <x v="584"/>
    <x v="3"/>
    <x v="2"/>
    <d v="2022-10-23T00:00:00"/>
    <x v="0"/>
    <n v="3042"/>
    <n v="1972"/>
    <n v="2.2599999999999998"/>
    <n v="31"/>
  </r>
  <r>
    <x v="585"/>
    <x v="585"/>
    <x v="6"/>
    <x v="2"/>
    <d v="2024-01-16T00:00:00"/>
    <x v="1"/>
    <n v="8295"/>
    <n v="7450"/>
    <n v="2.56"/>
    <n v="1"/>
  </r>
  <r>
    <x v="586"/>
    <x v="586"/>
    <x v="3"/>
    <x v="3"/>
    <d v="2023-08-19T00:00:00"/>
    <x v="1"/>
    <n v="2625"/>
    <n v="8101"/>
    <n v="3.82"/>
    <n v="95"/>
  </r>
  <r>
    <x v="587"/>
    <x v="587"/>
    <x v="2"/>
    <x v="2"/>
    <d v="2023-04-05T00:00:00"/>
    <x v="0"/>
    <n v="14579"/>
    <n v="3149"/>
    <n v="2.8"/>
    <n v="89"/>
  </r>
  <r>
    <x v="588"/>
    <x v="588"/>
    <x v="1"/>
    <x v="3"/>
    <d v="2022-05-31T00:00:00"/>
    <x v="1"/>
    <n v="3331"/>
    <n v="1957"/>
    <n v="3.12"/>
    <n v="57"/>
  </r>
  <r>
    <x v="589"/>
    <x v="589"/>
    <x v="2"/>
    <x v="2"/>
    <d v="2024-04-10T00:00:00"/>
    <x v="1"/>
    <n v="13756"/>
    <n v="1521"/>
    <n v="3.84"/>
    <n v="0"/>
  </r>
  <r>
    <x v="590"/>
    <x v="590"/>
    <x v="6"/>
    <x v="2"/>
    <d v="2023-01-14T00:00:00"/>
    <x v="0"/>
    <n v="2069"/>
    <n v="9168"/>
    <n v="2.4"/>
    <n v="60"/>
  </r>
  <r>
    <x v="591"/>
    <x v="591"/>
    <x v="3"/>
    <x v="0"/>
    <d v="2024-05-29T00:00:00"/>
    <x v="0"/>
    <n v="12736"/>
    <n v="86"/>
    <n v="3.52"/>
    <n v="30"/>
  </r>
  <r>
    <x v="592"/>
    <x v="592"/>
    <x v="3"/>
    <x v="3"/>
    <d v="2023-12-16T00:00:00"/>
    <x v="0"/>
    <n v="9002"/>
    <n v="9521"/>
    <n v="3.31"/>
    <n v="25"/>
  </r>
  <r>
    <x v="593"/>
    <x v="593"/>
    <x v="5"/>
    <x v="1"/>
    <d v="2023-09-14T00:00:00"/>
    <x v="2"/>
    <n v="10702"/>
    <n v="2826"/>
    <n v="3.39"/>
    <n v="6"/>
  </r>
  <r>
    <x v="594"/>
    <x v="594"/>
    <x v="1"/>
    <x v="3"/>
    <d v="2022-09-18T00:00:00"/>
    <x v="1"/>
    <n v="13535"/>
    <n v="8752"/>
    <n v="3.17"/>
    <n v="73"/>
  </r>
  <r>
    <x v="595"/>
    <x v="595"/>
    <x v="0"/>
    <x v="1"/>
    <d v="2022-06-28T00:00:00"/>
    <x v="0"/>
    <n v="11144"/>
    <n v="6352"/>
    <n v="2.89"/>
    <n v="98"/>
  </r>
  <r>
    <x v="596"/>
    <x v="596"/>
    <x v="5"/>
    <x v="1"/>
    <d v="2023-04-03T00:00:00"/>
    <x v="1"/>
    <n v="9401"/>
    <n v="5071"/>
    <n v="2.8"/>
    <n v="78"/>
  </r>
  <r>
    <x v="597"/>
    <x v="597"/>
    <x v="5"/>
    <x v="3"/>
    <d v="2023-10-28T00:00:00"/>
    <x v="2"/>
    <n v="6027"/>
    <n v="8515"/>
    <n v="2.76"/>
    <n v="50"/>
  </r>
  <r>
    <x v="598"/>
    <x v="598"/>
    <x v="5"/>
    <x v="1"/>
    <d v="2022-06-22T00:00:00"/>
    <x v="2"/>
    <n v="14933"/>
    <n v="5194"/>
    <n v="3.8"/>
    <n v="71"/>
  </r>
  <r>
    <x v="599"/>
    <x v="599"/>
    <x v="5"/>
    <x v="0"/>
    <d v="2022-10-14T00:00:00"/>
    <x v="0"/>
    <n v="4556"/>
    <n v="2074"/>
    <n v="3.47"/>
    <n v="13"/>
  </r>
  <r>
    <x v="600"/>
    <x v="600"/>
    <x v="5"/>
    <x v="3"/>
    <d v="2023-12-01T00:00:00"/>
    <x v="0"/>
    <n v="6572"/>
    <n v="7509"/>
    <n v="3.43"/>
    <n v="9"/>
  </r>
  <r>
    <x v="601"/>
    <x v="601"/>
    <x v="0"/>
    <x v="3"/>
    <d v="2023-09-15T00:00:00"/>
    <x v="0"/>
    <n v="2372"/>
    <n v="4974"/>
    <n v="2.8"/>
    <n v="51"/>
  </r>
  <r>
    <x v="602"/>
    <x v="602"/>
    <x v="5"/>
    <x v="2"/>
    <d v="2023-07-18T00:00:00"/>
    <x v="0"/>
    <n v="10692"/>
    <n v="6679"/>
    <n v="3.85"/>
    <n v="90"/>
  </r>
  <r>
    <x v="603"/>
    <x v="603"/>
    <x v="6"/>
    <x v="2"/>
    <d v="2024-05-20T00:00:00"/>
    <x v="0"/>
    <n v="13268"/>
    <n v="1099"/>
    <n v="3.63"/>
    <n v="105"/>
  </r>
  <r>
    <x v="604"/>
    <x v="604"/>
    <x v="5"/>
    <x v="1"/>
    <d v="2023-12-10T00:00:00"/>
    <x v="1"/>
    <n v="13205"/>
    <n v="4398"/>
    <n v="3.87"/>
    <n v="55"/>
  </r>
  <r>
    <x v="605"/>
    <x v="605"/>
    <x v="7"/>
    <x v="0"/>
    <d v="2022-12-10T00:00:00"/>
    <x v="1"/>
    <n v="14226"/>
    <n v="7209"/>
    <n v="2.8"/>
    <n v="77"/>
  </r>
  <r>
    <x v="606"/>
    <x v="606"/>
    <x v="2"/>
    <x v="1"/>
    <d v="2023-03-08T00:00:00"/>
    <x v="0"/>
    <n v="8513"/>
    <n v="1900"/>
    <n v="2.38"/>
    <n v="32"/>
  </r>
  <r>
    <x v="607"/>
    <x v="607"/>
    <x v="6"/>
    <x v="0"/>
    <d v="2023-03-28T00:00:00"/>
    <x v="0"/>
    <n v="11839"/>
    <n v="2074"/>
    <n v="2.94"/>
    <n v="9"/>
  </r>
  <r>
    <x v="608"/>
    <x v="608"/>
    <x v="2"/>
    <x v="3"/>
    <d v="2023-06-28T00:00:00"/>
    <x v="0"/>
    <n v="11789"/>
    <n v="2842"/>
    <n v="2.0499999999999998"/>
    <n v="103"/>
  </r>
  <r>
    <x v="609"/>
    <x v="609"/>
    <x v="6"/>
    <x v="1"/>
    <d v="2024-05-23T00:00:00"/>
    <x v="0"/>
    <n v="8777"/>
    <n v="5534"/>
    <n v="3.92"/>
    <n v="44"/>
  </r>
  <r>
    <x v="610"/>
    <x v="610"/>
    <x v="6"/>
    <x v="3"/>
    <d v="2023-04-08T00:00:00"/>
    <x v="2"/>
    <n v="14001"/>
    <n v="1920"/>
    <n v="2.66"/>
    <n v="83"/>
  </r>
  <r>
    <x v="611"/>
    <x v="611"/>
    <x v="5"/>
    <x v="0"/>
    <d v="2022-11-30T00:00:00"/>
    <x v="2"/>
    <n v="10096"/>
    <n v="7573"/>
    <n v="2.58"/>
    <n v="99"/>
  </r>
  <r>
    <x v="612"/>
    <x v="612"/>
    <x v="2"/>
    <x v="0"/>
    <d v="2023-11-07T00:00:00"/>
    <x v="0"/>
    <n v="12350"/>
    <n v="9222"/>
    <n v="2.86"/>
    <n v="31"/>
  </r>
  <r>
    <x v="613"/>
    <x v="613"/>
    <x v="6"/>
    <x v="1"/>
    <d v="2024-03-11T00:00:00"/>
    <x v="0"/>
    <n v="7322"/>
    <n v="1136"/>
    <n v="2.16"/>
    <n v="38"/>
  </r>
  <r>
    <x v="614"/>
    <x v="614"/>
    <x v="4"/>
    <x v="2"/>
    <d v="2024-04-12T00:00:00"/>
    <x v="0"/>
    <n v="5312"/>
    <n v="8824"/>
    <n v="2.78"/>
    <n v="25"/>
  </r>
  <r>
    <x v="615"/>
    <x v="615"/>
    <x v="2"/>
    <x v="3"/>
    <d v="2024-01-02T00:00:00"/>
    <x v="0"/>
    <n v="6373"/>
    <n v="5830"/>
    <n v="3.33"/>
    <n v="54"/>
  </r>
  <r>
    <x v="616"/>
    <x v="616"/>
    <x v="7"/>
    <x v="2"/>
    <d v="2023-09-15T00:00:00"/>
    <x v="0"/>
    <n v="4233"/>
    <n v="3690"/>
    <n v="2.95"/>
    <n v="25"/>
  </r>
  <r>
    <x v="617"/>
    <x v="617"/>
    <x v="0"/>
    <x v="3"/>
    <d v="2023-05-26T00:00:00"/>
    <x v="1"/>
    <n v="13229"/>
    <n v="4756"/>
    <n v="3.6"/>
    <n v="93"/>
  </r>
  <r>
    <x v="618"/>
    <x v="618"/>
    <x v="7"/>
    <x v="1"/>
    <d v="2024-02-23T00:00:00"/>
    <x v="0"/>
    <n v="3758"/>
    <n v="7268"/>
    <n v="2.16"/>
    <n v="57"/>
  </r>
  <r>
    <x v="619"/>
    <x v="619"/>
    <x v="2"/>
    <x v="0"/>
    <d v="2022-04-18T00:00:00"/>
    <x v="1"/>
    <n v="12721"/>
    <n v="2480"/>
    <n v="3.64"/>
    <n v="7"/>
  </r>
  <r>
    <x v="620"/>
    <x v="620"/>
    <x v="7"/>
    <x v="1"/>
    <d v="2023-07-15T00:00:00"/>
    <x v="0"/>
    <n v="4337"/>
    <n v="3817"/>
    <n v="3.46"/>
    <n v="45"/>
  </r>
  <r>
    <x v="621"/>
    <x v="621"/>
    <x v="3"/>
    <x v="0"/>
    <d v="2023-03-21T00:00:00"/>
    <x v="0"/>
    <n v="10462"/>
    <n v="5148"/>
    <n v="3.84"/>
    <n v="100"/>
  </r>
  <r>
    <x v="622"/>
    <x v="622"/>
    <x v="7"/>
    <x v="0"/>
    <d v="2022-04-06T00:00:00"/>
    <x v="0"/>
    <n v="3395"/>
    <n v="776"/>
    <n v="3.15"/>
    <n v="111"/>
  </r>
  <r>
    <x v="623"/>
    <x v="623"/>
    <x v="2"/>
    <x v="0"/>
    <d v="2023-11-23T00:00:00"/>
    <x v="1"/>
    <n v="4517"/>
    <n v="4565"/>
    <n v="2.2999999999999998"/>
    <n v="10"/>
  </r>
  <r>
    <x v="624"/>
    <x v="624"/>
    <x v="5"/>
    <x v="1"/>
    <d v="2024-06-15T00:00:00"/>
    <x v="0"/>
    <n v="13029"/>
    <n v="8730"/>
    <n v="3.5"/>
    <n v="38"/>
  </r>
  <r>
    <x v="625"/>
    <x v="625"/>
    <x v="4"/>
    <x v="3"/>
    <d v="2023-05-06T00:00:00"/>
    <x v="1"/>
    <n v="10361"/>
    <n v="8648"/>
    <n v="2.52"/>
    <n v="19"/>
  </r>
  <r>
    <x v="626"/>
    <x v="626"/>
    <x v="6"/>
    <x v="2"/>
    <d v="2023-06-24T00:00:00"/>
    <x v="0"/>
    <n v="9360"/>
    <n v="9308"/>
    <n v="2.3199999999999998"/>
    <n v="114"/>
  </r>
  <r>
    <x v="627"/>
    <x v="627"/>
    <x v="4"/>
    <x v="2"/>
    <d v="2023-08-24T00:00:00"/>
    <x v="1"/>
    <n v="8250"/>
    <n v="77"/>
    <n v="3.47"/>
    <n v="98"/>
  </r>
  <r>
    <x v="628"/>
    <x v="628"/>
    <x v="4"/>
    <x v="1"/>
    <d v="2023-04-30T00:00:00"/>
    <x v="0"/>
    <n v="6986"/>
    <n v="1773"/>
    <n v="3.12"/>
    <n v="106"/>
  </r>
  <r>
    <x v="629"/>
    <x v="629"/>
    <x v="5"/>
    <x v="1"/>
    <d v="2023-01-01T00:00:00"/>
    <x v="1"/>
    <n v="14012"/>
    <n v="7567"/>
    <n v="2.29"/>
    <n v="86"/>
  </r>
  <r>
    <x v="630"/>
    <x v="630"/>
    <x v="5"/>
    <x v="0"/>
    <d v="2023-02-22T00:00:00"/>
    <x v="0"/>
    <n v="6769"/>
    <n v="2409"/>
    <n v="2.2999999999999998"/>
    <n v="57"/>
  </r>
  <r>
    <x v="631"/>
    <x v="631"/>
    <x v="1"/>
    <x v="0"/>
    <d v="2024-06-10T00:00:00"/>
    <x v="0"/>
    <n v="3621"/>
    <n v="3198"/>
    <n v="3.45"/>
    <n v="16"/>
  </r>
  <r>
    <x v="632"/>
    <x v="632"/>
    <x v="6"/>
    <x v="2"/>
    <d v="2022-05-20T00:00:00"/>
    <x v="2"/>
    <n v="14499"/>
    <n v="2164"/>
    <n v="2.4"/>
    <n v="21"/>
  </r>
  <r>
    <x v="633"/>
    <x v="633"/>
    <x v="1"/>
    <x v="3"/>
    <d v="2023-06-19T00:00:00"/>
    <x v="0"/>
    <n v="4859"/>
    <n v="250"/>
    <n v="3.26"/>
    <n v="99"/>
  </r>
  <r>
    <x v="634"/>
    <x v="634"/>
    <x v="4"/>
    <x v="0"/>
    <d v="2022-09-23T00:00:00"/>
    <x v="1"/>
    <n v="3080"/>
    <n v="9821"/>
    <n v="2.33"/>
    <n v="94"/>
  </r>
  <r>
    <x v="635"/>
    <x v="635"/>
    <x v="6"/>
    <x v="2"/>
    <d v="2023-01-07T00:00:00"/>
    <x v="1"/>
    <n v="10910"/>
    <n v="3649"/>
    <n v="3.02"/>
    <n v="70"/>
  </r>
  <r>
    <x v="636"/>
    <x v="636"/>
    <x v="4"/>
    <x v="0"/>
    <d v="2022-11-29T00:00:00"/>
    <x v="0"/>
    <n v="12516"/>
    <n v="1881"/>
    <n v="3.86"/>
    <n v="98"/>
  </r>
  <r>
    <x v="637"/>
    <x v="637"/>
    <x v="4"/>
    <x v="2"/>
    <d v="2023-10-25T00:00:00"/>
    <x v="0"/>
    <n v="3587"/>
    <n v="9014"/>
    <n v="2.34"/>
    <n v="57"/>
  </r>
  <r>
    <x v="638"/>
    <x v="638"/>
    <x v="6"/>
    <x v="3"/>
    <d v="2024-02-20T00:00:00"/>
    <x v="1"/>
    <n v="13307"/>
    <n v="66"/>
    <n v="2.4900000000000002"/>
    <n v="99"/>
  </r>
  <r>
    <x v="639"/>
    <x v="639"/>
    <x v="5"/>
    <x v="1"/>
    <d v="2022-12-25T00:00:00"/>
    <x v="1"/>
    <n v="4132"/>
    <n v="6404"/>
    <n v="2.63"/>
    <n v="114"/>
  </r>
  <r>
    <x v="640"/>
    <x v="640"/>
    <x v="6"/>
    <x v="1"/>
    <d v="2022-05-12T00:00:00"/>
    <x v="0"/>
    <n v="5391"/>
    <n v="7710"/>
    <n v="3.61"/>
    <n v="37"/>
  </r>
  <r>
    <x v="641"/>
    <x v="641"/>
    <x v="7"/>
    <x v="1"/>
    <d v="2022-10-01T00:00:00"/>
    <x v="1"/>
    <n v="4790"/>
    <n v="5633"/>
    <n v="2.11"/>
    <n v="52"/>
  </r>
  <r>
    <x v="642"/>
    <x v="642"/>
    <x v="5"/>
    <x v="3"/>
    <d v="2022-12-09T00:00:00"/>
    <x v="0"/>
    <n v="13302"/>
    <n v="9211"/>
    <n v="2.5"/>
    <n v="98"/>
  </r>
  <r>
    <x v="643"/>
    <x v="643"/>
    <x v="6"/>
    <x v="0"/>
    <d v="2024-05-23T00:00:00"/>
    <x v="0"/>
    <n v="9424"/>
    <n v="2947"/>
    <n v="2.5"/>
    <n v="86"/>
  </r>
  <r>
    <x v="644"/>
    <x v="644"/>
    <x v="0"/>
    <x v="2"/>
    <d v="2023-03-07T00:00:00"/>
    <x v="0"/>
    <n v="13660"/>
    <n v="1268"/>
    <n v="3.06"/>
    <n v="98"/>
  </r>
  <r>
    <x v="645"/>
    <x v="645"/>
    <x v="1"/>
    <x v="1"/>
    <d v="2023-04-22T00:00:00"/>
    <x v="0"/>
    <n v="2789"/>
    <n v="469"/>
    <n v="3.93"/>
    <n v="22"/>
  </r>
  <r>
    <x v="646"/>
    <x v="646"/>
    <x v="6"/>
    <x v="3"/>
    <d v="2022-06-06T00:00:00"/>
    <x v="1"/>
    <n v="14573"/>
    <n v="2083"/>
    <n v="2.67"/>
    <n v="115"/>
  </r>
  <r>
    <x v="647"/>
    <x v="647"/>
    <x v="2"/>
    <x v="2"/>
    <d v="2022-03-05T00:00:00"/>
    <x v="0"/>
    <n v="4580"/>
    <n v="2043"/>
    <n v="2.02"/>
    <n v="100"/>
  </r>
  <r>
    <x v="648"/>
    <x v="648"/>
    <x v="6"/>
    <x v="0"/>
    <d v="2022-06-28T00:00:00"/>
    <x v="0"/>
    <n v="8254"/>
    <n v="4272"/>
    <n v="2.2599999999999998"/>
    <n v="5"/>
  </r>
  <r>
    <x v="649"/>
    <x v="649"/>
    <x v="4"/>
    <x v="1"/>
    <d v="2023-01-12T00:00:00"/>
    <x v="2"/>
    <n v="5234"/>
    <n v="134"/>
    <n v="3.59"/>
    <n v="100"/>
  </r>
  <r>
    <x v="650"/>
    <x v="650"/>
    <x v="3"/>
    <x v="2"/>
    <d v="2022-12-21T00:00:00"/>
    <x v="0"/>
    <n v="5237"/>
    <n v="5339"/>
    <n v="3.07"/>
    <n v="65"/>
  </r>
  <r>
    <x v="651"/>
    <x v="651"/>
    <x v="6"/>
    <x v="3"/>
    <d v="2022-09-14T00:00:00"/>
    <x v="1"/>
    <n v="6803"/>
    <n v="5852"/>
    <n v="2.89"/>
    <n v="35"/>
  </r>
  <r>
    <x v="652"/>
    <x v="652"/>
    <x v="1"/>
    <x v="1"/>
    <d v="2022-01-02T00:00:00"/>
    <x v="0"/>
    <n v="3355"/>
    <n v="1493"/>
    <n v="3.49"/>
    <n v="102"/>
  </r>
  <r>
    <x v="653"/>
    <x v="653"/>
    <x v="6"/>
    <x v="1"/>
    <d v="2022-12-28T00:00:00"/>
    <x v="1"/>
    <n v="13586"/>
    <n v="6814"/>
    <n v="2.67"/>
    <n v="118"/>
  </r>
  <r>
    <x v="654"/>
    <x v="654"/>
    <x v="7"/>
    <x v="2"/>
    <d v="2023-07-27T00:00:00"/>
    <x v="0"/>
    <n v="7191"/>
    <n v="5791"/>
    <n v="2.06"/>
    <n v="10"/>
  </r>
  <r>
    <x v="655"/>
    <x v="655"/>
    <x v="5"/>
    <x v="3"/>
    <d v="2023-01-10T00:00:00"/>
    <x v="1"/>
    <n v="2088"/>
    <n v="9067"/>
    <n v="2.82"/>
    <n v="48"/>
  </r>
  <r>
    <x v="656"/>
    <x v="656"/>
    <x v="1"/>
    <x v="2"/>
    <d v="2024-05-19T00:00:00"/>
    <x v="0"/>
    <n v="8068"/>
    <n v="5741"/>
    <n v="3.01"/>
    <n v="13"/>
  </r>
  <r>
    <x v="657"/>
    <x v="657"/>
    <x v="1"/>
    <x v="0"/>
    <d v="2023-10-06T00:00:00"/>
    <x v="0"/>
    <n v="9351"/>
    <n v="3044"/>
    <n v="2.15"/>
    <n v="0"/>
  </r>
  <r>
    <x v="658"/>
    <x v="658"/>
    <x v="1"/>
    <x v="1"/>
    <d v="2022-02-15T00:00:00"/>
    <x v="0"/>
    <n v="13082"/>
    <n v="4263"/>
    <n v="2.12"/>
    <n v="80"/>
  </r>
  <r>
    <x v="659"/>
    <x v="659"/>
    <x v="7"/>
    <x v="3"/>
    <d v="2022-03-30T00:00:00"/>
    <x v="2"/>
    <n v="7721"/>
    <n v="5545"/>
    <n v="2.89"/>
    <n v="18"/>
  </r>
  <r>
    <x v="660"/>
    <x v="660"/>
    <x v="7"/>
    <x v="3"/>
    <d v="2023-05-27T00:00:00"/>
    <x v="1"/>
    <n v="10644"/>
    <n v="3148"/>
    <n v="3.04"/>
    <n v="34"/>
  </r>
  <r>
    <x v="661"/>
    <x v="661"/>
    <x v="2"/>
    <x v="1"/>
    <d v="2023-09-30T00:00:00"/>
    <x v="0"/>
    <n v="10752"/>
    <n v="6829"/>
    <n v="2.9"/>
    <n v="67"/>
  </r>
  <r>
    <x v="662"/>
    <x v="662"/>
    <x v="1"/>
    <x v="0"/>
    <d v="2023-09-21T00:00:00"/>
    <x v="1"/>
    <n v="3252"/>
    <n v="5292"/>
    <n v="2.66"/>
    <n v="80"/>
  </r>
  <r>
    <x v="663"/>
    <x v="663"/>
    <x v="1"/>
    <x v="3"/>
    <d v="2022-05-31T00:00:00"/>
    <x v="0"/>
    <n v="11497"/>
    <n v="273"/>
    <n v="2.9"/>
    <n v="47"/>
  </r>
  <r>
    <x v="664"/>
    <x v="664"/>
    <x v="7"/>
    <x v="0"/>
    <d v="2023-07-31T00:00:00"/>
    <x v="0"/>
    <n v="7089"/>
    <n v="6857"/>
    <n v="3.75"/>
    <n v="113"/>
  </r>
  <r>
    <x v="665"/>
    <x v="665"/>
    <x v="1"/>
    <x v="1"/>
    <d v="2023-02-02T00:00:00"/>
    <x v="1"/>
    <n v="5893"/>
    <n v="55"/>
    <n v="3.15"/>
    <n v="8"/>
  </r>
  <r>
    <x v="666"/>
    <x v="666"/>
    <x v="4"/>
    <x v="0"/>
    <d v="2022-07-11T00:00:00"/>
    <x v="0"/>
    <n v="4330"/>
    <n v="6146"/>
    <n v="3.95"/>
    <n v="81"/>
  </r>
  <r>
    <x v="667"/>
    <x v="667"/>
    <x v="3"/>
    <x v="2"/>
    <d v="2023-09-26T00:00:00"/>
    <x v="0"/>
    <n v="3810"/>
    <n v="5081"/>
    <n v="3.16"/>
    <n v="66"/>
  </r>
  <r>
    <x v="668"/>
    <x v="668"/>
    <x v="3"/>
    <x v="1"/>
    <d v="2022-10-22T00:00:00"/>
    <x v="1"/>
    <n v="3315"/>
    <n v="3738"/>
    <n v="3.26"/>
    <n v="117"/>
  </r>
  <r>
    <x v="669"/>
    <x v="669"/>
    <x v="0"/>
    <x v="2"/>
    <d v="2022-02-08T00:00:00"/>
    <x v="1"/>
    <n v="9949"/>
    <n v="1090"/>
    <n v="3.17"/>
    <n v="54"/>
  </r>
  <r>
    <x v="670"/>
    <x v="670"/>
    <x v="3"/>
    <x v="0"/>
    <d v="2023-10-13T00:00:00"/>
    <x v="0"/>
    <n v="2894"/>
    <n v="8868"/>
    <n v="3.96"/>
    <n v="30"/>
  </r>
  <r>
    <x v="671"/>
    <x v="671"/>
    <x v="2"/>
    <x v="1"/>
    <d v="2023-05-25T00:00:00"/>
    <x v="2"/>
    <n v="4013"/>
    <n v="4029"/>
    <n v="3.59"/>
    <n v="6"/>
  </r>
  <r>
    <x v="672"/>
    <x v="672"/>
    <x v="2"/>
    <x v="2"/>
    <d v="2022-03-20T00:00:00"/>
    <x v="1"/>
    <n v="5273"/>
    <n v="9237"/>
    <n v="2.59"/>
    <n v="95"/>
  </r>
  <r>
    <x v="673"/>
    <x v="673"/>
    <x v="6"/>
    <x v="1"/>
    <d v="2023-09-21T00:00:00"/>
    <x v="0"/>
    <n v="10298"/>
    <n v="1382"/>
    <n v="2.67"/>
    <n v="88"/>
  </r>
  <r>
    <x v="674"/>
    <x v="674"/>
    <x v="5"/>
    <x v="0"/>
    <d v="2022-02-07T00:00:00"/>
    <x v="0"/>
    <n v="9592"/>
    <n v="944"/>
    <n v="2.1"/>
    <n v="71"/>
  </r>
  <r>
    <x v="675"/>
    <x v="675"/>
    <x v="5"/>
    <x v="0"/>
    <d v="2022-09-13T00:00:00"/>
    <x v="0"/>
    <n v="12383"/>
    <n v="6864"/>
    <n v="2.78"/>
    <n v="38"/>
  </r>
  <r>
    <x v="676"/>
    <x v="676"/>
    <x v="3"/>
    <x v="3"/>
    <d v="2022-08-10T00:00:00"/>
    <x v="0"/>
    <n v="10703"/>
    <n v="1138"/>
    <n v="3.49"/>
    <n v="107"/>
  </r>
  <r>
    <x v="677"/>
    <x v="677"/>
    <x v="5"/>
    <x v="0"/>
    <d v="2023-03-05T00:00:00"/>
    <x v="0"/>
    <n v="12060"/>
    <n v="6306"/>
    <n v="3.77"/>
    <n v="48"/>
  </r>
  <r>
    <x v="678"/>
    <x v="678"/>
    <x v="7"/>
    <x v="3"/>
    <d v="2024-06-17T00:00:00"/>
    <x v="0"/>
    <n v="5192"/>
    <n v="7911"/>
    <n v="2.4700000000000002"/>
    <n v="88"/>
  </r>
  <r>
    <x v="679"/>
    <x v="679"/>
    <x v="4"/>
    <x v="2"/>
    <d v="2022-03-16T00:00:00"/>
    <x v="0"/>
    <n v="3356"/>
    <n v="4096"/>
    <n v="2.74"/>
    <n v="98"/>
  </r>
  <r>
    <x v="680"/>
    <x v="680"/>
    <x v="1"/>
    <x v="2"/>
    <d v="2023-03-17T00:00:00"/>
    <x v="1"/>
    <n v="6141"/>
    <n v="1714"/>
    <n v="2.58"/>
    <n v="100"/>
  </r>
  <r>
    <x v="681"/>
    <x v="681"/>
    <x v="0"/>
    <x v="1"/>
    <d v="2024-04-07T00:00:00"/>
    <x v="0"/>
    <n v="5110"/>
    <n v="1350"/>
    <n v="3.06"/>
    <n v="77"/>
  </r>
  <r>
    <x v="682"/>
    <x v="682"/>
    <x v="4"/>
    <x v="1"/>
    <d v="2024-02-18T00:00:00"/>
    <x v="0"/>
    <n v="10080"/>
    <n v="4930"/>
    <n v="3.17"/>
    <n v="73"/>
  </r>
  <r>
    <x v="683"/>
    <x v="683"/>
    <x v="1"/>
    <x v="1"/>
    <d v="2022-02-04T00:00:00"/>
    <x v="0"/>
    <n v="7513"/>
    <n v="1653"/>
    <n v="3.05"/>
    <n v="73"/>
  </r>
  <r>
    <x v="684"/>
    <x v="684"/>
    <x v="4"/>
    <x v="1"/>
    <d v="2023-12-25T00:00:00"/>
    <x v="0"/>
    <n v="8227"/>
    <n v="4734"/>
    <n v="3.1"/>
    <n v="50"/>
  </r>
  <r>
    <x v="685"/>
    <x v="685"/>
    <x v="6"/>
    <x v="0"/>
    <d v="2023-12-25T00:00:00"/>
    <x v="0"/>
    <n v="13129"/>
    <n v="7800"/>
    <n v="3.5"/>
    <n v="116"/>
  </r>
  <r>
    <x v="686"/>
    <x v="686"/>
    <x v="4"/>
    <x v="1"/>
    <d v="2022-12-10T00:00:00"/>
    <x v="2"/>
    <n v="10408"/>
    <n v="1245"/>
    <n v="2.78"/>
    <n v="72"/>
  </r>
  <r>
    <x v="687"/>
    <x v="687"/>
    <x v="4"/>
    <x v="0"/>
    <d v="2023-10-17T00:00:00"/>
    <x v="1"/>
    <n v="7270"/>
    <n v="4035"/>
    <n v="2.2000000000000002"/>
    <n v="10"/>
  </r>
  <r>
    <x v="688"/>
    <x v="688"/>
    <x v="5"/>
    <x v="1"/>
    <d v="2022-03-28T00:00:00"/>
    <x v="0"/>
    <n v="2730"/>
    <n v="6097"/>
    <n v="2.09"/>
    <n v="70"/>
  </r>
  <r>
    <x v="689"/>
    <x v="689"/>
    <x v="4"/>
    <x v="1"/>
    <d v="2022-06-03T00:00:00"/>
    <x v="1"/>
    <n v="11096"/>
    <n v="3961"/>
    <n v="3.9"/>
    <n v="48"/>
  </r>
  <r>
    <x v="690"/>
    <x v="690"/>
    <x v="5"/>
    <x v="1"/>
    <d v="2024-03-11T00:00:00"/>
    <x v="1"/>
    <n v="14406"/>
    <n v="3386"/>
    <n v="3.04"/>
    <n v="109"/>
  </r>
  <r>
    <x v="691"/>
    <x v="691"/>
    <x v="1"/>
    <x v="2"/>
    <d v="2023-11-21T00:00:00"/>
    <x v="1"/>
    <n v="11296"/>
    <n v="6755"/>
    <n v="2.86"/>
    <n v="112"/>
  </r>
  <r>
    <x v="692"/>
    <x v="692"/>
    <x v="3"/>
    <x v="1"/>
    <d v="2023-10-21T00:00:00"/>
    <x v="2"/>
    <n v="12851"/>
    <n v="8600"/>
    <n v="3.36"/>
    <n v="15"/>
  </r>
  <r>
    <x v="693"/>
    <x v="693"/>
    <x v="5"/>
    <x v="2"/>
    <d v="2023-07-27T00:00:00"/>
    <x v="1"/>
    <n v="6804"/>
    <n v="4521"/>
    <n v="3.77"/>
    <n v="2"/>
  </r>
  <r>
    <x v="694"/>
    <x v="694"/>
    <x v="3"/>
    <x v="3"/>
    <d v="2022-03-17T00:00:00"/>
    <x v="0"/>
    <n v="3504"/>
    <n v="7053"/>
    <n v="2.31"/>
    <n v="101"/>
  </r>
  <r>
    <x v="695"/>
    <x v="695"/>
    <x v="6"/>
    <x v="2"/>
    <d v="2022-11-09T00:00:00"/>
    <x v="1"/>
    <n v="13244"/>
    <n v="5499"/>
    <n v="2.0299999999999998"/>
    <n v="44"/>
  </r>
  <r>
    <x v="696"/>
    <x v="696"/>
    <x v="0"/>
    <x v="1"/>
    <d v="2022-12-02T00:00:00"/>
    <x v="1"/>
    <n v="14717"/>
    <n v="290"/>
    <n v="3.78"/>
    <n v="97"/>
  </r>
  <r>
    <x v="697"/>
    <x v="697"/>
    <x v="7"/>
    <x v="1"/>
    <d v="2023-11-14T00:00:00"/>
    <x v="0"/>
    <n v="9722"/>
    <n v="7356"/>
    <n v="2.5"/>
    <n v="53"/>
  </r>
  <r>
    <x v="698"/>
    <x v="698"/>
    <x v="4"/>
    <x v="0"/>
    <d v="2024-02-08T00:00:00"/>
    <x v="0"/>
    <n v="12801"/>
    <n v="8270"/>
    <n v="2.58"/>
    <n v="57"/>
  </r>
  <r>
    <x v="699"/>
    <x v="699"/>
    <x v="0"/>
    <x v="1"/>
    <d v="2022-07-03T00:00:00"/>
    <x v="0"/>
    <n v="3650"/>
    <n v="137"/>
    <n v="2.64"/>
    <n v="4"/>
  </r>
  <r>
    <x v="700"/>
    <x v="700"/>
    <x v="7"/>
    <x v="2"/>
    <d v="2023-06-01T00:00:00"/>
    <x v="2"/>
    <n v="8042"/>
    <n v="5884"/>
    <n v="3.91"/>
    <n v="37"/>
  </r>
  <r>
    <x v="701"/>
    <x v="701"/>
    <x v="3"/>
    <x v="0"/>
    <d v="2022-03-16T00:00:00"/>
    <x v="1"/>
    <n v="4253"/>
    <n v="7291"/>
    <n v="3.66"/>
    <n v="113"/>
  </r>
  <r>
    <x v="702"/>
    <x v="702"/>
    <x v="5"/>
    <x v="0"/>
    <d v="2023-10-13T00:00:00"/>
    <x v="0"/>
    <n v="7568"/>
    <n v="6300"/>
    <n v="3.11"/>
    <n v="25"/>
  </r>
  <r>
    <x v="703"/>
    <x v="703"/>
    <x v="5"/>
    <x v="1"/>
    <d v="2023-01-18T00:00:00"/>
    <x v="0"/>
    <n v="12595"/>
    <n v="5062"/>
    <n v="2.6"/>
    <n v="66"/>
  </r>
  <r>
    <x v="704"/>
    <x v="704"/>
    <x v="5"/>
    <x v="3"/>
    <d v="2023-08-28T00:00:00"/>
    <x v="0"/>
    <n v="13552"/>
    <n v="9582"/>
    <n v="2.4300000000000002"/>
    <n v="10"/>
  </r>
  <r>
    <x v="705"/>
    <x v="705"/>
    <x v="3"/>
    <x v="3"/>
    <d v="2023-09-15T00:00:00"/>
    <x v="0"/>
    <n v="12316"/>
    <n v="5027"/>
    <n v="2.77"/>
    <n v="23"/>
  </r>
  <r>
    <x v="706"/>
    <x v="706"/>
    <x v="4"/>
    <x v="2"/>
    <d v="2023-05-04T00:00:00"/>
    <x v="0"/>
    <n v="13723"/>
    <n v="8461"/>
    <n v="2.46"/>
    <n v="58"/>
  </r>
  <r>
    <x v="707"/>
    <x v="707"/>
    <x v="0"/>
    <x v="0"/>
    <d v="2022-12-26T00:00:00"/>
    <x v="0"/>
    <n v="7398"/>
    <n v="5789"/>
    <n v="3.81"/>
    <n v="90"/>
  </r>
  <r>
    <x v="708"/>
    <x v="708"/>
    <x v="6"/>
    <x v="2"/>
    <d v="2023-12-01T00:00:00"/>
    <x v="1"/>
    <n v="11190"/>
    <n v="33"/>
    <n v="2.81"/>
    <n v="79"/>
  </r>
  <r>
    <x v="709"/>
    <x v="709"/>
    <x v="7"/>
    <x v="1"/>
    <d v="2022-03-12T00:00:00"/>
    <x v="1"/>
    <n v="11686"/>
    <n v="869"/>
    <n v="3.04"/>
    <n v="25"/>
  </r>
  <r>
    <x v="710"/>
    <x v="710"/>
    <x v="4"/>
    <x v="2"/>
    <d v="2023-12-13T00:00:00"/>
    <x v="0"/>
    <n v="10158"/>
    <n v="9319"/>
    <n v="3"/>
    <n v="19"/>
  </r>
  <r>
    <x v="711"/>
    <x v="711"/>
    <x v="3"/>
    <x v="0"/>
    <d v="2022-03-13T00:00:00"/>
    <x v="2"/>
    <n v="3088"/>
    <n v="2439"/>
    <n v="2.4700000000000002"/>
    <n v="113"/>
  </r>
  <r>
    <x v="712"/>
    <x v="712"/>
    <x v="0"/>
    <x v="1"/>
    <d v="2023-08-15T00:00:00"/>
    <x v="0"/>
    <n v="2510"/>
    <n v="8919"/>
    <n v="3.72"/>
    <n v="98"/>
  </r>
  <r>
    <x v="713"/>
    <x v="713"/>
    <x v="6"/>
    <x v="2"/>
    <d v="2022-12-26T00:00:00"/>
    <x v="2"/>
    <n v="2925"/>
    <n v="3209"/>
    <n v="2.88"/>
    <n v="59"/>
  </r>
  <r>
    <x v="714"/>
    <x v="714"/>
    <x v="4"/>
    <x v="0"/>
    <d v="2022-02-07T00:00:00"/>
    <x v="0"/>
    <n v="10388"/>
    <n v="2667"/>
    <n v="3.62"/>
    <n v="35"/>
  </r>
  <r>
    <x v="715"/>
    <x v="715"/>
    <x v="1"/>
    <x v="3"/>
    <d v="2022-11-15T00:00:00"/>
    <x v="1"/>
    <n v="7318"/>
    <n v="8381"/>
    <n v="2.86"/>
    <n v="88"/>
  </r>
  <r>
    <x v="716"/>
    <x v="716"/>
    <x v="5"/>
    <x v="2"/>
    <d v="2023-09-26T00:00:00"/>
    <x v="1"/>
    <n v="9113"/>
    <n v="5810"/>
    <n v="3.84"/>
    <n v="86"/>
  </r>
  <r>
    <x v="717"/>
    <x v="717"/>
    <x v="5"/>
    <x v="3"/>
    <d v="2022-04-01T00:00:00"/>
    <x v="0"/>
    <n v="6712"/>
    <n v="1250"/>
    <n v="2.1800000000000002"/>
    <n v="10"/>
  </r>
  <r>
    <x v="718"/>
    <x v="718"/>
    <x v="7"/>
    <x v="3"/>
    <d v="2023-09-11T00:00:00"/>
    <x v="0"/>
    <n v="3350"/>
    <n v="107"/>
    <n v="2.92"/>
    <n v="109"/>
  </r>
  <r>
    <x v="719"/>
    <x v="719"/>
    <x v="5"/>
    <x v="2"/>
    <d v="2022-12-11T00:00:00"/>
    <x v="1"/>
    <n v="2209"/>
    <n v="2392"/>
    <n v="3.49"/>
    <n v="66"/>
  </r>
  <r>
    <x v="720"/>
    <x v="720"/>
    <x v="4"/>
    <x v="2"/>
    <d v="2022-09-24T00:00:00"/>
    <x v="0"/>
    <n v="13928"/>
    <n v="6933"/>
    <n v="3.37"/>
    <n v="64"/>
  </r>
  <r>
    <x v="721"/>
    <x v="721"/>
    <x v="0"/>
    <x v="2"/>
    <d v="2023-10-28T00:00:00"/>
    <x v="0"/>
    <n v="9516"/>
    <n v="729"/>
    <n v="3.16"/>
    <n v="96"/>
  </r>
  <r>
    <x v="722"/>
    <x v="722"/>
    <x v="5"/>
    <x v="3"/>
    <d v="2022-01-30T00:00:00"/>
    <x v="0"/>
    <n v="5145"/>
    <n v="6014"/>
    <n v="2.98"/>
    <n v="32"/>
  </r>
  <r>
    <x v="723"/>
    <x v="723"/>
    <x v="4"/>
    <x v="0"/>
    <d v="2022-07-13T00:00:00"/>
    <x v="1"/>
    <n v="6799"/>
    <n v="1246"/>
    <n v="3.07"/>
    <n v="45"/>
  </r>
  <r>
    <x v="724"/>
    <x v="724"/>
    <x v="6"/>
    <x v="1"/>
    <d v="2023-01-30T00:00:00"/>
    <x v="0"/>
    <n v="7388"/>
    <n v="9272"/>
    <n v="3.7"/>
    <n v="118"/>
  </r>
  <r>
    <x v="725"/>
    <x v="725"/>
    <x v="0"/>
    <x v="2"/>
    <d v="2023-12-29T00:00:00"/>
    <x v="0"/>
    <n v="2383"/>
    <n v="1670"/>
    <n v="2.82"/>
    <n v="8"/>
  </r>
  <r>
    <x v="726"/>
    <x v="726"/>
    <x v="6"/>
    <x v="1"/>
    <d v="2022-02-13T00:00:00"/>
    <x v="1"/>
    <n v="7853"/>
    <n v="8847"/>
    <n v="2.4300000000000002"/>
    <n v="4"/>
  </r>
  <r>
    <x v="727"/>
    <x v="727"/>
    <x v="5"/>
    <x v="0"/>
    <d v="2024-04-01T00:00:00"/>
    <x v="0"/>
    <n v="12713"/>
    <n v="352"/>
    <n v="3.92"/>
    <n v="95"/>
  </r>
  <r>
    <x v="728"/>
    <x v="728"/>
    <x v="7"/>
    <x v="3"/>
    <d v="2022-09-17T00:00:00"/>
    <x v="1"/>
    <n v="4256"/>
    <n v="1159"/>
    <n v="2.89"/>
    <n v="32"/>
  </r>
  <r>
    <x v="729"/>
    <x v="729"/>
    <x v="5"/>
    <x v="2"/>
    <d v="2022-09-27T00:00:00"/>
    <x v="0"/>
    <n v="9110"/>
    <n v="7109"/>
    <n v="3.07"/>
    <n v="103"/>
  </r>
  <r>
    <x v="730"/>
    <x v="730"/>
    <x v="4"/>
    <x v="1"/>
    <d v="2023-01-23T00:00:00"/>
    <x v="2"/>
    <n v="3316"/>
    <n v="7822"/>
    <n v="2.2799999999999998"/>
    <n v="110"/>
  </r>
  <r>
    <x v="731"/>
    <x v="731"/>
    <x v="1"/>
    <x v="3"/>
    <d v="2024-01-09T00:00:00"/>
    <x v="0"/>
    <n v="5395"/>
    <n v="4845"/>
    <n v="3.29"/>
    <n v="50"/>
  </r>
  <r>
    <x v="732"/>
    <x v="732"/>
    <x v="0"/>
    <x v="3"/>
    <d v="2024-02-01T00:00:00"/>
    <x v="0"/>
    <n v="13318"/>
    <n v="4842"/>
    <n v="3.79"/>
    <n v="45"/>
  </r>
  <r>
    <x v="733"/>
    <x v="733"/>
    <x v="4"/>
    <x v="0"/>
    <d v="2022-08-27T00:00:00"/>
    <x v="1"/>
    <n v="6241"/>
    <n v="5128"/>
    <n v="3.92"/>
    <n v="111"/>
  </r>
  <r>
    <x v="734"/>
    <x v="734"/>
    <x v="7"/>
    <x v="1"/>
    <d v="2022-01-17T00:00:00"/>
    <x v="0"/>
    <n v="8037"/>
    <n v="3076"/>
    <n v="2.75"/>
    <n v="28"/>
  </r>
  <r>
    <x v="735"/>
    <x v="735"/>
    <x v="6"/>
    <x v="1"/>
    <d v="2022-06-19T00:00:00"/>
    <x v="0"/>
    <n v="10127"/>
    <n v="4309"/>
    <n v="3.84"/>
    <n v="89"/>
  </r>
  <r>
    <x v="736"/>
    <x v="736"/>
    <x v="0"/>
    <x v="3"/>
    <d v="2023-02-18T00:00:00"/>
    <x v="0"/>
    <n v="12789"/>
    <n v="311"/>
    <n v="2.92"/>
    <n v="90"/>
  </r>
  <r>
    <x v="737"/>
    <x v="737"/>
    <x v="7"/>
    <x v="0"/>
    <d v="2022-06-07T00:00:00"/>
    <x v="0"/>
    <n v="10155"/>
    <n v="9072"/>
    <n v="3.99"/>
    <n v="38"/>
  </r>
  <r>
    <x v="738"/>
    <x v="738"/>
    <x v="7"/>
    <x v="2"/>
    <d v="2023-02-18T00:00:00"/>
    <x v="0"/>
    <n v="6971"/>
    <n v="6639"/>
    <n v="2.6"/>
    <n v="54"/>
  </r>
  <r>
    <x v="739"/>
    <x v="739"/>
    <x v="7"/>
    <x v="0"/>
    <d v="2022-02-04T00:00:00"/>
    <x v="0"/>
    <n v="9877"/>
    <n v="1236"/>
    <n v="3.69"/>
    <n v="25"/>
  </r>
  <r>
    <x v="740"/>
    <x v="740"/>
    <x v="1"/>
    <x v="1"/>
    <d v="2023-07-09T00:00:00"/>
    <x v="0"/>
    <n v="9561"/>
    <n v="5098"/>
    <n v="3.79"/>
    <n v="68"/>
  </r>
  <r>
    <x v="741"/>
    <x v="741"/>
    <x v="7"/>
    <x v="0"/>
    <d v="2022-05-16T00:00:00"/>
    <x v="0"/>
    <n v="6012"/>
    <n v="965"/>
    <n v="2.27"/>
    <n v="50"/>
  </r>
  <r>
    <x v="742"/>
    <x v="742"/>
    <x v="3"/>
    <x v="0"/>
    <d v="2023-08-10T00:00:00"/>
    <x v="0"/>
    <n v="12717"/>
    <n v="5005"/>
    <n v="3.55"/>
    <n v="61"/>
  </r>
  <r>
    <x v="743"/>
    <x v="743"/>
    <x v="4"/>
    <x v="1"/>
    <d v="2023-05-16T00:00:00"/>
    <x v="0"/>
    <n v="5344"/>
    <n v="2596"/>
    <n v="2.97"/>
    <n v="108"/>
  </r>
  <r>
    <x v="744"/>
    <x v="744"/>
    <x v="6"/>
    <x v="3"/>
    <d v="2022-08-31T00:00:00"/>
    <x v="0"/>
    <n v="2025"/>
    <n v="1760"/>
    <n v="3.27"/>
    <n v="23"/>
  </r>
  <r>
    <x v="745"/>
    <x v="745"/>
    <x v="1"/>
    <x v="2"/>
    <d v="2022-10-17T00:00:00"/>
    <x v="0"/>
    <n v="13185"/>
    <n v="8241"/>
    <n v="3.51"/>
    <n v="55"/>
  </r>
  <r>
    <x v="746"/>
    <x v="746"/>
    <x v="7"/>
    <x v="0"/>
    <d v="2024-03-18T00:00:00"/>
    <x v="0"/>
    <n v="3683"/>
    <n v="377"/>
    <n v="2.8"/>
    <n v="9"/>
  </r>
  <r>
    <x v="747"/>
    <x v="747"/>
    <x v="1"/>
    <x v="3"/>
    <d v="2023-06-10T00:00:00"/>
    <x v="0"/>
    <n v="6337"/>
    <n v="3748"/>
    <n v="2.79"/>
    <n v="38"/>
  </r>
  <r>
    <x v="748"/>
    <x v="748"/>
    <x v="4"/>
    <x v="0"/>
    <d v="2022-09-20T00:00:00"/>
    <x v="0"/>
    <n v="10576"/>
    <n v="4900"/>
    <n v="3.87"/>
    <n v="12"/>
  </r>
  <r>
    <x v="749"/>
    <x v="749"/>
    <x v="7"/>
    <x v="2"/>
    <d v="2023-06-05T00:00:00"/>
    <x v="1"/>
    <n v="13691"/>
    <n v="883"/>
    <n v="2.06"/>
    <n v="76"/>
  </r>
  <r>
    <x v="750"/>
    <x v="750"/>
    <x v="7"/>
    <x v="1"/>
    <d v="2024-03-28T00:00:00"/>
    <x v="0"/>
    <n v="10341"/>
    <n v="7548"/>
    <n v="2.59"/>
    <n v="55"/>
  </r>
  <r>
    <x v="751"/>
    <x v="751"/>
    <x v="7"/>
    <x v="1"/>
    <d v="2022-01-12T00:00:00"/>
    <x v="0"/>
    <n v="6833"/>
    <n v="3054"/>
    <n v="3.59"/>
    <n v="100"/>
  </r>
  <r>
    <x v="752"/>
    <x v="752"/>
    <x v="2"/>
    <x v="3"/>
    <d v="2024-01-09T00:00:00"/>
    <x v="0"/>
    <n v="11055"/>
    <n v="9037"/>
    <n v="3.57"/>
    <n v="60"/>
  </r>
  <r>
    <x v="753"/>
    <x v="753"/>
    <x v="7"/>
    <x v="3"/>
    <d v="2022-11-30T00:00:00"/>
    <x v="0"/>
    <n v="4932"/>
    <n v="5140"/>
    <n v="2.15"/>
    <n v="16"/>
  </r>
  <r>
    <x v="754"/>
    <x v="754"/>
    <x v="2"/>
    <x v="3"/>
    <d v="2024-06-01T00:00:00"/>
    <x v="0"/>
    <n v="11129"/>
    <n v="7535"/>
    <n v="2.5499999999999998"/>
    <n v="103"/>
  </r>
  <r>
    <x v="755"/>
    <x v="755"/>
    <x v="4"/>
    <x v="0"/>
    <d v="2022-10-28T00:00:00"/>
    <x v="2"/>
    <n v="6819"/>
    <n v="1912"/>
    <n v="3.5"/>
    <n v="106"/>
  </r>
  <r>
    <x v="756"/>
    <x v="756"/>
    <x v="4"/>
    <x v="0"/>
    <d v="2022-10-09T00:00:00"/>
    <x v="1"/>
    <n v="2016"/>
    <n v="3726"/>
    <n v="2.34"/>
    <n v="68"/>
  </r>
  <r>
    <x v="757"/>
    <x v="757"/>
    <x v="7"/>
    <x v="2"/>
    <d v="2022-05-05T00:00:00"/>
    <x v="1"/>
    <n v="4792"/>
    <n v="8258"/>
    <n v="2.34"/>
    <n v="62"/>
  </r>
  <r>
    <x v="758"/>
    <x v="758"/>
    <x v="7"/>
    <x v="2"/>
    <d v="2022-06-01T00:00:00"/>
    <x v="1"/>
    <n v="11623"/>
    <n v="4266"/>
    <n v="2.66"/>
    <n v="104"/>
  </r>
  <r>
    <x v="759"/>
    <x v="759"/>
    <x v="3"/>
    <x v="2"/>
    <d v="2022-12-17T00:00:00"/>
    <x v="0"/>
    <n v="8319"/>
    <n v="8308"/>
    <n v="2.27"/>
    <n v="50"/>
  </r>
  <r>
    <x v="760"/>
    <x v="760"/>
    <x v="0"/>
    <x v="0"/>
    <d v="2023-04-29T00:00:00"/>
    <x v="0"/>
    <n v="8191"/>
    <n v="3306"/>
    <n v="2.2400000000000002"/>
    <n v="73"/>
  </r>
  <r>
    <x v="761"/>
    <x v="761"/>
    <x v="2"/>
    <x v="0"/>
    <d v="2022-08-29T00:00:00"/>
    <x v="0"/>
    <n v="7244"/>
    <n v="2886"/>
    <n v="3.52"/>
    <n v="57"/>
  </r>
  <r>
    <x v="762"/>
    <x v="762"/>
    <x v="3"/>
    <x v="0"/>
    <d v="2022-08-14T00:00:00"/>
    <x v="0"/>
    <n v="9367"/>
    <n v="4635"/>
    <n v="3.44"/>
    <n v="74"/>
  </r>
  <r>
    <x v="763"/>
    <x v="763"/>
    <x v="3"/>
    <x v="0"/>
    <d v="2024-01-20T00:00:00"/>
    <x v="0"/>
    <n v="10808"/>
    <n v="7607"/>
    <n v="3.05"/>
    <n v="0"/>
  </r>
  <r>
    <x v="764"/>
    <x v="764"/>
    <x v="4"/>
    <x v="0"/>
    <d v="2023-03-18T00:00:00"/>
    <x v="0"/>
    <n v="8446"/>
    <n v="1368"/>
    <n v="2.1"/>
    <n v="112"/>
  </r>
  <r>
    <x v="765"/>
    <x v="765"/>
    <x v="4"/>
    <x v="0"/>
    <d v="2023-12-25T00:00:00"/>
    <x v="0"/>
    <n v="2490"/>
    <n v="8720"/>
    <n v="2.14"/>
    <n v="12"/>
  </r>
  <r>
    <x v="766"/>
    <x v="766"/>
    <x v="2"/>
    <x v="2"/>
    <d v="2022-06-16T00:00:00"/>
    <x v="1"/>
    <n v="11291"/>
    <n v="3997"/>
    <n v="2.1"/>
    <n v="74"/>
  </r>
  <r>
    <x v="767"/>
    <x v="767"/>
    <x v="4"/>
    <x v="1"/>
    <d v="2022-09-20T00:00:00"/>
    <x v="0"/>
    <n v="4470"/>
    <n v="5720"/>
    <n v="2.62"/>
    <n v="24"/>
  </r>
  <r>
    <x v="768"/>
    <x v="768"/>
    <x v="2"/>
    <x v="3"/>
    <d v="2023-04-20T00:00:00"/>
    <x v="2"/>
    <n v="8068"/>
    <n v="1190"/>
    <n v="3.28"/>
    <n v="39"/>
  </r>
  <r>
    <x v="769"/>
    <x v="769"/>
    <x v="6"/>
    <x v="1"/>
    <d v="2022-07-23T00:00:00"/>
    <x v="1"/>
    <n v="2556"/>
    <n v="3049"/>
    <n v="3.23"/>
    <n v="66"/>
  </r>
  <r>
    <x v="770"/>
    <x v="770"/>
    <x v="1"/>
    <x v="2"/>
    <d v="2023-10-06T00:00:00"/>
    <x v="1"/>
    <n v="13388"/>
    <n v="4708"/>
    <n v="2.65"/>
    <n v="114"/>
  </r>
  <r>
    <x v="771"/>
    <x v="771"/>
    <x v="2"/>
    <x v="0"/>
    <d v="2024-02-28T00:00:00"/>
    <x v="0"/>
    <n v="8490"/>
    <n v="5406"/>
    <n v="3.29"/>
    <n v="51"/>
  </r>
  <r>
    <x v="772"/>
    <x v="772"/>
    <x v="1"/>
    <x v="2"/>
    <d v="2024-03-04T00:00:00"/>
    <x v="0"/>
    <n v="5597"/>
    <n v="449"/>
    <n v="3.8"/>
    <n v="106"/>
  </r>
  <r>
    <x v="773"/>
    <x v="773"/>
    <x v="5"/>
    <x v="1"/>
    <d v="2022-06-23T00:00:00"/>
    <x v="1"/>
    <n v="3334"/>
    <n v="4265"/>
    <n v="2.79"/>
    <n v="49"/>
  </r>
  <r>
    <x v="774"/>
    <x v="774"/>
    <x v="3"/>
    <x v="3"/>
    <d v="2023-02-25T00:00:00"/>
    <x v="0"/>
    <n v="5127"/>
    <n v="1138"/>
    <n v="2.08"/>
    <n v="109"/>
  </r>
  <r>
    <x v="775"/>
    <x v="775"/>
    <x v="1"/>
    <x v="1"/>
    <d v="2023-10-31T00:00:00"/>
    <x v="1"/>
    <n v="5285"/>
    <n v="116"/>
    <n v="2.82"/>
    <n v="96"/>
  </r>
  <r>
    <x v="776"/>
    <x v="776"/>
    <x v="5"/>
    <x v="0"/>
    <d v="2022-03-02T00:00:00"/>
    <x v="1"/>
    <n v="13700"/>
    <n v="9745"/>
    <n v="3.99"/>
    <n v="32"/>
  </r>
  <r>
    <x v="777"/>
    <x v="777"/>
    <x v="5"/>
    <x v="2"/>
    <d v="2023-11-18T00:00:00"/>
    <x v="1"/>
    <n v="5236"/>
    <n v="2559"/>
    <n v="2.0299999999999998"/>
    <n v="28"/>
  </r>
  <r>
    <x v="778"/>
    <x v="778"/>
    <x v="4"/>
    <x v="3"/>
    <d v="2022-09-14T00:00:00"/>
    <x v="0"/>
    <n v="14446"/>
    <n v="6710"/>
    <n v="3.67"/>
    <n v="20"/>
  </r>
  <r>
    <x v="779"/>
    <x v="779"/>
    <x v="0"/>
    <x v="2"/>
    <d v="2024-01-02T00:00:00"/>
    <x v="0"/>
    <n v="9347"/>
    <n v="931"/>
    <n v="2.48"/>
    <n v="77"/>
  </r>
  <r>
    <x v="780"/>
    <x v="780"/>
    <x v="3"/>
    <x v="2"/>
    <d v="2022-10-10T00:00:00"/>
    <x v="0"/>
    <n v="7036"/>
    <n v="8702"/>
    <n v="2.81"/>
    <n v="92"/>
  </r>
  <r>
    <x v="781"/>
    <x v="781"/>
    <x v="1"/>
    <x v="0"/>
    <d v="2023-09-27T00:00:00"/>
    <x v="2"/>
    <n v="2807"/>
    <n v="4412"/>
    <n v="2.1"/>
    <n v="17"/>
  </r>
  <r>
    <x v="782"/>
    <x v="782"/>
    <x v="6"/>
    <x v="3"/>
    <d v="2022-01-11T00:00:00"/>
    <x v="1"/>
    <n v="4713"/>
    <n v="2905"/>
    <n v="2.68"/>
    <n v="83"/>
  </r>
  <r>
    <x v="783"/>
    <x v="783"/>
    <x v="2"/>
    <x v="3"/>
    <d v="2023-06-23T00:00:00"/>
    <x v="0"/>
    <n v="8738"/>
    <n v="8784"/>
    <n v="3.88"/>
    <n v="29"/>
  </r>
  <r>
    <x v="784"/>
    <x v="784"/>
    <x v="3"/>
    <x v="2"/>
    <d v="2023-10-19T00:00:00"/>
    <x v="0"/>
    <n v="5873"/>
    <n v="6663"/>
    <n v="2.68"/>
    <n v="60"/>
  </r>
  <r>
    <x v="785"/>
    <x v="785"/>
    <x v="2"/>
    <x v="3"/>
    <d v="2023-08-14T00:00:00"/>
    <x v="0"/>
    <n v="2955"/>
    <n v="3577"/>
    <n v="3.87"/>
    <n v="92"/>
  </r>
  <r>
    <x v="786"/>
    <x v="786"/>
    <x v="0"/>
    <x v="0"/>
    <d v="2023-09-20T00:00:00"/>
    <x v="1"/>
    <n v="14511"/>
    <n v="7022"/>
    <n v="3.28"/>
    <n v="66"/>
  </r>
  <r>
    <x v="787"/>
    <x v="787"/>
    <x v="4"/>
    <x v="0"/>
    <d v="2024-03-28T00:00:00"/>
    <x v="0"/>
    <n v="5957"/>
    <n v="5173"/>
    <n v="2.11"/>
    <n v="76"/>
  </r>
  <r>
    <x v="788"/>
    <x v="788"/>
    <x v="5"/>
    <x v="1"/>
    <d v="2023-10-06T00:00:00"/>
    <x v="0"/>
    <n v="12871"/>
    <n v="6263"/>
    <n v="2.78"/>
    <n v="55"/>
  </r>
  <r>
    <x v="789"/>
    <x v="789"/>
    <x v="3"/>
    <x v="0"/>
    <d v="2023-12-05T00:00:00"/>
    <x v="0"/>
    <n v="10218"/>
    <n v="2605"/>
    <n v="2.38"/>
    <n v="103"/>
  </r>
  <r>
    <x v="790"/>
    <x v="790"/>
    <x v="1"/>
    <x v="0"/>
    <d v="2023-11-03T00:00:00"/>
    <x v="1"/>
    <n v="6960"/>
    <n v="7251"/>
    <n v="3.64"/>
    <n v="23"/>
  </r>
  <r>
    <x v="791"/>
    <x v="791"/>
    <x v="4"/>
    <x v="2"/>
    <d v="2022-09-04T00:00:00"/>
    <x v="0"/>
    <n v="6829"/>
    <n v="4244"/>
    <n v="3.45"/>
    <n v="39"/>
  </r>
  <r>
    <x v="792"/>
    <x v="792"/>
    <x v="6"/>
    <x v="1"/>
    <d v="2024-06-01T00:00:00"/>
    <x v="0"/>
    <n v="9470"/>
    <n v="8209"/>
    <n v="2.23"/>
    <n v="17"/>
  </r>
  <r>
    <x v="793"/>
    <x v="793"/>
    <x v="7"/>
    <x v="1"/>
    <d v="2022-10-11T00:00:00"/>
    <x v="1"/>
    <n v="11385"/>
    <n v="4400"/>
    <n v="3.13"/>
    <n v="103"/>
  </r>
  <r>
    <x v="794"/>
    <x v="794"/>
    <x v="7"/>
    <x v="3"/>
    <d v="2024-02-03T00:00:00"/>
    <x v="2"/>
    <n v="6371"/>
    <n v="1413"/>
    <n v="2.0299999999999998"/>
    <n v="9"/>
  </r>
  <r>
    <x v="795"/>
    <x v="795"/>
    <x v="7"/>
    <x v="0"/>
    <d v="2023-09-19T00:00:00"/>
    <x v="0"/>
    <n v="12348"/>
    <n v="7249"/>
    <n v="3.99"/>
    <n v="86"/>
  </r>
  <r>
    <x v="796"/>
    <x v="796"/>
    <x v="3"/>
    <x v="0"/>
    <d v="2023-05-22T00:00:00"/>
    <x v="1"/>
    <n v="11630"/>
    <n v="4125"/>
    <n v="2.97"/>
    <n v="1"/>
  </r>
  <r>
    <x v="797"/>
    <x v="797"/>
    <x v="3"/>
    <x v="0"/>
    <d v="2024-05-21T00:00:00"/>
    <x v="0"/>
    <n v="8458"/>
    <n v="2663"/>
    <n v="3.13"/>
    <n v="103"/>
  </r>
  <r>
    <x v="798"/>
    <x v="798"/>
    <x v="4"/>
    <x v="3"/>
    <d v="2023-11-28T00:00:00"/>
    <x v="0"/>
    <n v="5481"/>
    <n v="3750"/>
    <n v="2.04"/>
    <n v="99"/>
  </r>
  <r>
    <x v="799"/>
    <x v="799"/>
    <x v="7"/>
    <x v="1"/>
    <d v="2023-01-30T00:00:00"/>
    <x v="0"/>
    <n v="9827"/>
    <n v="3072"/>
    <n v="3.6"/>
    <n v="9"/>
  </r>
  <r>
    <x v="800"/>
    <x v="800"/>
    <x v="3"/>
    <x v="0"/>
    <d v="2023-10-14T00:00:00"/>
    <x v="0"/>
    <n v="9017"/>
    <n v="2433"/>
    <n v="2.5"/>
    <n v="104"/>
  </r>
  <r>
    <x v="801"/>
    <x v="801"/>
    <x v="0"/>
    <x v="2"/>
    <d v="2023-02-22T00:00:00"/>
    <x v="0"/>
    <n v="7088"/>
    <n v="1865"/>
    <n v="3.1"/>
    <n v="13"/>
  </r>
  <r>
    <x v="802"/>
    <x v="802"/>
    <x v="7"/>
    <x v="1"/>
    <d v="2023-10-20T00:00:00"/>
    <x v="0"/>
    <n v="6708"/>
    <n v="3378"/>
    <n v="2.4500000000000002"/>
    <n v="116"/>
  </r>
  <r>
    <x v="803"/>
    <x v="803"/>
    <x v="7"/>
    <x v="3"/>
    <d v="2022-10-20T00:00:00"/>
    <x v="0"/>
    <n v="8649"/>
    <n v="259"/>
    <n v="3.8"/>
    <n v="104"/>
  </r>
  <r>
    <x v="804"/>
    <x v="804"/>
    <x v="4"/>
    <x v="0"/>
    <d v="2023-04-18T00:00:00"/>
    <x v="0"/>
    <n v="14403"/>
    <n v="6794"/>
    <n v="3.08"/>
    <n v="12"/>
  </r>
  <r>
    <x v="805"/>
    <x v="805"/>
    <x v="3"/>
    <x v="2"/>
    <d v="2024-01-23T00:00:00"/>
    <x v="0"/>
    <n v="6558"/>
    <n v="1313"/>
    <n v="3.07"/>
    <n v="41"/>
  </r>
  <r>
    <x v="806"/>
    <x v="806"/>
    <x v="7"/>
    <x v="2"/>
    <d v="2022-11-06T00:00:00"/>
    <x v="0"/>
    <n v="9997"/>
    <n v="9046"/>
    <n v="3.18"/>
    <n v="31"/>
  </r>
  <r>
    <x v="807"/>
    <x v="807"/>
    <x v="4"/>
    <x v="3"/>
    <d v="2024-03-30T00:00:00"/>
    <x v="0"/>
    <n v="2195"/>
    <n v="5801"/>
    <n v="3.09"/>
    <n v="29"/>
  </r>
  <r>
    <x v="808"/>
    <x v="808"/>
    <x v="2"/>
    <x v="0"/>
    <d v="2022-01-18T00:00:00"/>
    <x v="0"/>
    <n v="5342"/>
    <n v="8331"/>
    <n v="2.34"/>
    <n v="28"/>
  </r>
  <r>
    <x v="809"/>
    <x v="809"/>
    <x v="7"/>
    <x v="0"/>
    <d v="2022-03-11T00:00:00"/>
    <x v="1"/>
    <n v="8312"/>
    <n v="1608"/>
    <n v="2.66"/>
    <n v="60"/>
  </r>
  <r>
    <x v="810"/>
    <x v="810"/>
    <x v="3"/>
    <x v="0"/>
    <d v="2022-08-08T00:00:00"/>
    <x v="0"/>
    <n v="11533"/>
    <n v="3137"/>
    <n v="3.99"/>
    <n v="102"/>
  </r>
  <r>
    <x v="811"/>
    <x v="811"/>
    <x v="0"/>
    <x v="1"/>
    <d v="2022-12-27T00:00:00"/>
    <x v="0"/>
    <n v="13511"/>
    <n v="5464"/>
    <n v="3.98"/>
    <n v="28"/>
  </r>
  <r>
    <x v="812"/>
    <x v="812"/>
    <x v="2"/>
    <x v="1"/>
    <d v="2022-12-03T00:00:00"/>
    <x v="0"/>
    <n v="14695"/>
    <n v="6199"/>
    <n v="3.67"/>
    <n v="22"/>
  </r>
  <r>
    <x v="813"/>
    <x v="813"/>
    <x v="5"/>
    <x v="2"/>
    <d v="2022-09-06T00:00:00"/>
    <x v="0"/>
    <n v="4571"/>
    <n v="8871"/>
    <n v="2.04"/>
    <n v="94"/>
  </r>
  <r>
    <x v="814"/>
    <x v="814"/>
    <x v="0"/>
    <x v="2"/>
    <d v="2022-03-24T00:00:00"/>
    <x v="1"/>
    <n v="12837"/>
    <n v="5084"/>
    <n v="3.1"/>
    <n v="37"/>
  </r>
  <r>
    <x v="815"/>
    <x v="815"/>
    <x v="4"/>
    <x v="0"/>
    <d v="2024-05-22T00:00:00"/>
    <x v="1"/>
    <n v="3199"/>
    <n v="5772"/>
    <n v="2.14"/>
    <n v="5"/>
  </r>
  <r>
    <x v="816"/>
    <x v="816"/>
    <x v="0"/>
    <x v="2"/>
    <d v="2024-05-02T00:00:00"/>
    <x v="1"/>
    <n v="2199"/>
    <n v="5986"/>
    <n v="3.13"/>
    <n v="33"/>
  </r>
  <r>
    <x v="817"/>
    <x v="817"/>
    <x v="4"/>
    <x v="2"/>
    <d v="2024-04-02T00:00:00"/>
    <x v="1"/>
    <n v="2150"/>
    <n v="6873"/>
    <n v="2.11"/>
    <n v="23"/>
  </r>
  <r>
    <x v="818"/>
    <x v="818"/>
    <x v="1"/>
    <x v="3"/>
    <d v="2024-06-18T00:00:00"/>
    <x v="2"/>
    <n v="9905"/>
    <n v="6715"/>
    <n v="2.12"/>
    <n v="101"/>
  </r>
  <r>
    <x v="819"/>
    <x v="819"/>
    <x v="0"/>
    <x v="3"/>
    <d v="2022-10-07T00:00:00"/>
    <x v="0"/>
    <n v="2124"/>
    <n v="464"/>
    <n v="3.19"/>
    <n v="39"/>
  </r>
  <r>
    <x v="820"/>
    <x v="820"/>
    <x v="7"/>
    <x v="0"/>
    <d v="2024-05-20T00:00:00"/>
    <x v="0"/>
    <n v="2690"/>
    <n v="7185"/>
    <n v="2.06"/>
    <n v="15"/>
  </r>
  <r>
    <x v="821"/>
    <x v="821"/>
    <x v="7"/>
    <x v="3"/>
    <d v="2022-07-28T00:00:00"/>
    <x v="0"/>
    <n v="13523"/>
    <n v="1946"/>
    <n v="2.35"/>
    <n v="2"/>
  </r>
  <r>
    <x v="822"/>
    <x v="822"/>
    <x v="2"/>
    <x v="2"/>
    <d v="2022-03-11T00:00:00"/>
    <x v="0"/>
    <n v="13442"/>
    <n v="1267"/>
    <n v="3.66"/>
    <n v="72"/>
  </r>
  <r>
    <x v="823"/>
    <x v="823"/>
    <x v="3"/>
    <x v="1"/>
    <d v="2024-02-05T00:00:00"/>
    <x v="1"/>
    <n v="6885"/>
    <n v="386"/>
    <n v="2.57"/>
    <n v="111"/>
  </r>
  <r>
    <x v="824"/>
    <x v="824"/>
    <x v="5"/>
    <x v="3"/>
    <d v="2022-02-26T00:00:00"/>
    <x v="1"/>
    <n v="5021"/>
    <n v="5227"/>
    <n v="3.65"/>
    <n v="97"/>
  </r>
  <r>
    <x v="825"/>
    <x v="825"/>
    <x v="1"/>
    <x v="2"/>
    <d v="2022-02-21T00:00:00"/>
    <x v="0"/>
    <n v="7061"/>
    <n v="7017"/>
    <n v="3.69"/>
    <n v="26"/>
  </r>
  <r>
    <x v="826"/>
    <x v="826"/>
    <x v="0"/>
    <x v="3"/>
    <d v="2024-04-27T00:00:00"/>
    <x v="1"/>
    <n v="7729"/>
    <n v="3775"/>
    <n v="2.08"/>
    <n v="59"/>
  </r>
  <r>
    <x v="827"/>
    <x v="827"/>
    <x v="6"/>
    <x v="1"/>
    <d v="2022-03-18T00:00:00"/>
    <x v="1"/>
    <n v="12330"/>
    <n v="3766"/>
    <n v="3.85"/>
    <n v="59"/>
  </r>
  <r>
    <x v="828"/>
    <x v="828"/>
    <x v="2"/>
    <x v="2"/>
    <d v="2022-03-29T00:00:00"/>
    <x v="1"/>
    <n v="11714"/>
    <n v="8902"/>
    <n v="2.66"/>
    <n v="87"/>
  </r>
  <r>
    <x v="829"/>
    <x v="829"/>
    <x v="0"/>
    <x v="1"/>
    <d v="2022-03-21T00:00:00"/>
    <x v="1"/>
    <n v="11559"/>
    <n v="7261"/>
    <n v="3.35"/>
    <n v="13"/>
  </r>
  <r>
    <x v="830"/>
    <x v="830"/>
    <x v="7"/>
    <x v="3"/>
    <d v="2024-02-23T00:00:00"/>
    <x v="0"/>
    <n v="14978"/>
    <n v="1326"/>
    <n v="2.2400000000000002"/>
    <n v="12"/>
  </r>
  <r>
    <x v="831"/>
    <x v="831"/>
    <x v="6"/>
    <x v="0"/>
    <d v="2022-02-23T00:00:00"/>
    <x v="0"/>
    <n v="11976"/>
    <n v="1826"/>
    <n v="2.2200000000000002"/>
    <n v="10"/>
  </r>
  <r>
    <x v="832"/>
    <x v="832"/>
    <x v="2"/>
    <x v="1"/>
    <d v="2023-01-04T00:00:00"/>
    <x v="0"/>
    <n v="14178"/>
    <n v="2222"/>
    <n v="3.45"/>
    <n v="91"/>
  </r>
  <r>
    <x v="833"/>
    <x v="833"/>
    <x v="1"/>
    <x v="0"/>
    <d v="2022-02-19T00:00:00"/>
    <x v="0"/>
    <n v="12592"/>
    <n v="161"/>
    <n v="2.27"/>
    <n v="68"/>
  </r>
  <r>
    <x v="834"/>
    <x v="834"/>
    <x v="2"/>
    <x v="1"/>
    <d v="2023-02-07T00:00:00"/>
    <x v="1"/>
    <n v="2380"/>
    <n v="9095"/>
    <n v="2.41"/>
    <n v="3"/>
  </r>
  <r>
    <x v="835"/>
    <x v="835"/>
    <x v="0"/>
    <x v="2"/>
    <d v="2023-03-02T00:00:00"/>
    <x v="0"/>
    <n v="3078"/>
    <n v="3622"/>
    <n v="3.39"/>
    <n v="72"/>
  </r>
  <r>
    <x v="836"/>
    <x v="836"/>
    <x v="5"/>
    <x v="2"/>
    <d v="2024-01-30T00:00:00"/>
    <x v="2"/>
    <n v="6374"/>
    <n v="1397"/>
    <n v="2.91"/>
    <n v="52"/>
  </r>
  <r>
    <x v="837"/>
    <x v="837"/>
    <x v="5"/>
    <x v="1"/>
    <d v="2023-10-03T00:00:00"/>
    <x v="1"/>
    <n v="3040"/>
    <n v="5676"/>
    <n v="3.86"/>
    <n v="92"/>
  </r>
  <r>
    <x v="838"/>
    <x v="838"/>
    <x v="0"/>
    <x v="2"/>
    <d v="2022-06-13T00:00:00"/>
    <x v="1"/>
    <n v="13689"/>
    <n v="313"/>
    <n v="3.95"/>
    <n v="78"/>
  </r>
  <r>
    <x v="839"/>
    <x v="839"/>
    <x v="0"/>
    <x v="1"/>
    <d v="2023-02-01T00:00:00"/>
    <x v="0"/>
    <n v="6036"/>
    <n v="6021"/>
    <n v="2.17"/>
    <n v="39"/>
  </r>
  <r>
    <x v="840"/>
    <x v="840"/>
    <x v="4"/>
    <x v="1"/>
    <d v="2024-02-18T00:00:00"/>
    <x v="1"/>
    <n v="9926"/>
    <n v="7453"/>
    <n v="3.31"/>
    <n v="7"/>
  </r>
  <r>
    <x v="841"/>
    <x v="841"/>
    <x v="3"/>
    <x v="0"/>
    <d v="2022-08-03T00:00:00"/>
    <x v="1"/>
    <n v="9699"/>
    <n v="354"/>
    <n v="3.97"/>
    <n v="25"/>
  </r>
  <r>
    <x v="842"/>
    <x v="842"/>
    <x v="3"/>
    <x v="0"/>
    <d v="2022-06-15T00:00:00"/>
    <x v="0"/>
    <n v="7281"/>
    <n v="5074"/>
    <n v="3.26"/>
    <n v="89"/>
  </r>
  <r>
    <x v="843"/>
    <x v="843"/>
    <x v="0"/>
    <x v="1"/>
    <d v="2022-10-19T00:00:00"/>
    <x v="2"/>
    <n v="7435"/>
    <n v="5879"/>
    <n v="3.57"/>
    <n v="17"/>
  </r>
  <r>
    <x v="844"/>
    <x v="844"/>
    <x v="5"/>
    <x v="0"/>
    <d v="2024-04-12T00:00:00"/>
    <x v="0"/>
    <n v="14977"/>
    <n v="374"/>
    <n v="2.36"/>
    <n v="60"/>
  </r>
  <r>
    <x v="845"/>
    <x v="845"/>
    <x v="1"/>
    <x v="3"/>
    <d v="2023-06-15T00:00:00"/>
    <x v="0"/>
    <n v="14578"/>
    <n v="8597"/>
    <n v="3.36"/>
    <n v="34"/>
  </r>
  <r>
    <x v="846"/>
    <x v="846"/>
    <x v="6"/>
    <x v="2"/>
    <d v="2022-02-20T00:00:00"/>
    <x v="1"/>
    <n v="2664"/>
    <n v="8878"/>
    <n v="2.5099999999999998"/>
    <n v="77"/>
  </r>
  <r>
    <x v="847"/>
    <x v="847"/>
    <x v="2"/>
    <x v="1"/>
    <d v="2022-08-19T00:00:00"/>
    <x v="0"/>
    <n v="11301"/>
    <n v="5420"/>
    <n v="3.56"/>
    <n v="96"/>
  </r>
  <r>
    <x v="848"/>
    <x v="848"/>
    <x v="2"/>
    <x v="2"/>
    <d v="2023-09-04T00:00:00"/>
    <x v="1"/>
    <n v="4379"/>
    <n v="9901"/>
    <n v="2.65"/>
    <n v="39"/>
  </r>
  <r>
    <x v="849"/>
    <x v="849"/>
    <x v="4"/>
    <x v="3"/>
    <d v="2022-07-25T00:00:00"/>
    <x v="0"/>
    <n v="13197"/>
    <n v="2495"/>
    <n v="2.7"/>
    <n v="26"/>
  </r>
  <r>
    <x v="850"/>
    <x v="850"/>
    <x v="7"/>
    <x v="1"/>
    <d v="2023-10-09T00:00:00"/>
    <x v="1"/>
    <n v="14472"/>
    <n v="8730"/>
    <n v="3.43"/>
    <n v="18"/>
  </r>
  <r>
    <x v="851"/>
    <x v="851"/>
    <x v="2"/>
    <x v="3"/>
    <d v="2024-04-26T00:00:00"/>
    <x v="1"/>
    <n v="6807"/>
    <n v="8983"/>
    <n v="2.98"/>
    <n v="47"/>
  </r>
  <r>
    <x v="852"/>
    <x v="852"/>
    <x v="3"/>
    <x v="1"/>
    <d v="2022-03-20T00:00:00"/>
    <x v="0"/>
    <n v="5918"/>
    <n v="3347"/>
    <n v="2.04"/>
    <n v="105"/>
  </r>
  <r>
    <x v="853"/>
    <x v="853"/>
    <x v="1"/>
    <x v="2"/>
    <d v="2023-10-11T00:00:00"/>
    <x v="1"/>
    <n v="6149"/>
    <n v="4635"/>
    <n v="2.63"/>
    <n v="118"/>
  </r>
  <r>
    <x v="854"/>
    <x v="854"/>
    <x v="6"/>
    <x v="3"/>
    <d v="2024-03-01T00:00:00"/>
    <x v="0"/>
    <n v="8365"/>
    <n v="3533"/>
    <n v="3.17"/>
    <n v="15"/>
  </r>
  <r>
    <x v="855"/>
    <x v="855"/>
    <x v="0"/>
    <x v="1"/>
    <d v="2023-07-27T00:00:00"/>
    <x v="0"/>
    <n v="9612"/>
    <n v="1018"/>
    <n v="3.25"/>
    <n v="88"/>
  </r>
  <r>
    <x v="856"/>
    <x v="856"/>
    <x v="2"/>
    <x v="1"/>
    <d v="2023-04-29T00:00:00"/>
    <x v="0"/>
    <n v="10449"/>
    <n v="7"/>
    <n v="2.98"/>
    <n v="54"/>
  </r>
  <r>
    <x v="857"/>
    <x v="857"/>
    <x v="0"/>
    <x v="0"/>
    <d v="2022-07-22T00:00:00"/>
    <x v="1"/>
    <n v="7352"/>
    <n v="3682"/>
    <n v="3.34"/>
    <n v="100"/>
  </r>
  <r>
    <x v="858"/>
    <x v="858"/>
    <x v="4"/>
    <x v="0"/>
    <d v="2023-11-20T00:00:00"/>
    <x v="0"/>
    <n v="2312"/>
    <n v="6130"/>
    <n v="2.66"/>
    <n v="54"/>
  </r>
  <r>
    <x v="859"/>
    <x v="859"/>
    <x v="7"/>
    <x v="3"/>
    <d v="2022-08-01T00:00:00"/>
    <x v="0"/>
    <n v="12046"/>
    <n v="1594"/>
    <n v="2.35"/>
    <n v="31"/>
  </r>
  <r>
    <x v="860"/>
    <x v="860"/>
    <x v="1"/>
    <x v="2"/>
    <d v="2023-06-20T00:00:00"/>
    <x v="0"/>
    <n v="6750"/>
    <n v="6005"/>
    <n v="2.2799999999999998"/>
    <n v="114"/>
  </r>
  <r>
    <x v="861"/>
    <x v="861"/>
    <x v="5"/>
    <x v="3"/>
    <d v="2023-08-28T00:00:00"/>
    <x v="0"/>
    <n v="4842"/>
    <n v="7238"/>
    <n v="2.0299999999999998"/>
    <n v="46"/>
  </r>
  <r>
    <x v="862"/>
    <x v="862"/>
    <x v="7"/>
    <x v="1"/>
    <d v="2022-03-27T00:00:00"/>
    <x v="0"/>
    <n v="7267"/>
    <n v="7428"/>
    <n v="3.25"/>
    <n v="115"/>
  </r>
  <r>
    <x v="863"/>
    <x v="863"/>
    <x v="2"/>
    <x v="1"/>
    <d v="2022-12-26T00:00:00"/>
    <x v="0"/>
    <n v="8934"/>
    <n v="7479"/>
    <n v="2.29"/>
    <n v="39"/>
  </r>
  <r>
    <x v="864"/>
    <x v="864"/>
    <x v="6"/>
    <x v="3"/>
    <d v="2022-02-19T00:00:00"/>
    <x v="2"/>
    <n v="10532"/>
    <n v="6202"/>
    <n v="2.93"/>
    <n v="109"/>
  </r>
  <r>
    <x v="865"/>
    <x v="865"/>
    <x v="4"/>
    <x v="1"/>
    <d v="2023-10-16T00:00:00"/>
    <x v="1"/>
    <n v="2177"/>
    <n v="9305"/>
    <n v="2.5099999999999998"/>
    <n v="50"/>
  </r>
  <r>
    <x v="866"/>
    <x v="866"/>
    <x v="7"/>
    <x v="2"/>
    <d v="2023-03-14T00:00:00"/>
    <x v="0"/>
    <n v="8971"/>
    <n v="8015"/>
    <n v="3.05"/>
    <n v="106"/>
  </r>
  <r>
    <x v="867"/>
    <x v="867"/>
    <x v="2"/>
    <x v="2"/>
    <d v="2022-07-03T00:00:00"/>
    <x v="2"/>
    <n v="13897"/>
    <n v="7593"/>
    <n v="3.25"/>
    <n v="63"/>
  </r>
  <r>
    <x v="868"/>
    <x v="868"/>
    <x v="4"/>
    <x v="0"/>
    <d v="2022-08-03T00:00:00"/>
    <x v="0"/>
    <n v="5508"/>
    <n v="7751"/>
    <n v="2.0099999999999998"/>
    <n v="17"/>
  </r>
  <r>
    <x v="869"/>
    <x v="869"/>
    <x v="3"/>
    <x v="0"/>
    <d v="2023-11-21T00:00:00"/>
    <x v="0"/>
    <n v="12065"/>
    <n v="2882"/>
    <n v="2.35"/>
    <n v="93"/>
  </r>
  <r>
    <x v="870"/>
    <x v="870"/>
    <x v="7"/>
    <x v="0"/>
    <d v="2023-09-04T00:00:00"/>
    <x v="0"/>
    <n v="4499"/>
    <n v="9517"/>
    <n v="2.71"/>
    <n v="2"/>
  </r>
  <r>
    <x v="871"/>
    <x v="871"/>
    <x v="4"/>
    <x v="3"/>
    <d v="2022-11-23T00:00:00"/>
    <x v="0"/>
    <n v="12459"/>
    <n v="889"/>
    <n v="3.43"/>
    <n v="57"/>
  </r>
  <r>
    <x v="872"/>
    <x v="872"/>
    <x v="7"/>
    <x v="0"/>
    <d v="2023-04-02T00:00:00"/>
    <x v="0"/>
    <n v="4107"/>
    <n v="6953"/>
    <n v="3.32"/>
    <n v="8"/>
  </r>
  <r>
    <x v="873"/>
    <x v="873"/>
    <x v="5"/>
    <x v="1"/>
    <d v="2022-05-09T00:00:00"/>
    <x v="0"/>
    <n v="3251"/>
    <n v="9829"/>
    <n v="2.73"/>
    <n v="60"/>
  </r>
  <r>
    <x v="874"/>
    <x v="874"/>
    <x v="6"/>
    <x v="1"/>
    <d v="2022-01-17T00:00:00"/>
    <x v="2"/>
    <n v="8000"/>
    <n v="5181"/>
    <n v="2.27"/>
    <n v="92"/>
  </r>
  <r>
    <x v="875"/>
    <x v="875"/>
    <x v="7"/>
    <x v="3"/>
    <d v="2024-04-23T00:00:00"/>
    <x v="0"/>
    <n v="4905"/>
    <n v="8239"/>
    <n v="3.24"/>
    <n v="13"/>
  </r>
  <r>
    <x v="876"/>
    <x v="876"/>
    <x v="5"/>
    <x v="3"/>
    <d v="2023-05-25T00:00:00"/>
    <x v="0"/>
    <n v="12331"/>
    <n v="1249"/>
    <n v="2.46"/>
    <n v="29"/>
  </r>
  <r>
    <x v="877"/>
    <x v="877"/>
    <x v="7"/>
    <x v="3"/>
    <d v="2023-04-25T00:00:00"/>
    <x v="2"/>
    <n v="13471"/>
    <n v="786"/>
    <n v="3.26"/>
    <n v="94"/>
  </r>
  <r>
    <x v="878"/>
    <x v="878"/>
    <x v="2"/>
    <x v="2"/>
    <d v="2022-11-29T00:00:00"/>
    <x v="0"/>
    <n v="9678"/>
    <n v="6115"/>
    <n v="3.56"/>
    <n v="81"/>
  </r>
  <r>
    <x v="879"/>
    <x v="879"/>
    <x v="1"/>
    <x v="0"/>
    <d v="2022-08-23T00:00:00"/>
    <x v="0"/>
    <n v="9888"/>
    <n v="7169"/>
    <n v="3.71"/>
    <n v="15"/>
  </r>
  <r>
    <x v="880"/>
    <x v="880"/>
    <x v="3"/>
    <x v="1"/>
    <d v="2023-01-29T00:00:00"/>
    <x v="0"/>
    <n v="11687"/>
    <n v="8105"/>
    <n v="3.45"/>
    <n v="89"/>
  </r>
  <r>
    <x v="881"/>
    <x v="881"/>
    <x v="5"/>
    <x v="0"/>
    <d v="2023-05-11T00:00:00"/>
    <x v="0"/>
    <n v="7453"/>
    <n v="143"/>
    <n v="2.73"/>
    <n v="64"/>
  </r>
  <r>
    <x v="882"/>
    <x v="882"/>
    <x v="4"/>
    <x v="3"/>
    <d v="2023-01-06T00:00:00"/>
    <x v="0"/>
    <n v="8695"/>
    <n v="7266"/>
    <n v="3.03"/>
    <n v="71"/>
  </r>
  <r>
    <x v="883"/>
    <x v="883"/>
    <x v="7"/>
    <x v="2"/>
    <d v="2023-03-16T00:00:00"/>
    <x v="1"/>
    <n v="4856"/>
    <n v="878"/>
    <n v="2.65"/>
    <n v="29"/>
  </r>
  <r>
    <x v="884"/>
    <x v="884"/>
    <x v="0"/>
    <x v="3"/>
    <d v="2023-11-01T00:00:00"/>
    <x v="2"/>
    <n v="6249"/>
    <n v="1193"/>
    <n v="3.99"/>
    <n v="59"/>
  </r>
  <r>
    <x v="885"/>
    <x v="885"/>
    <x v="7"/>
    <x v="2"/>
    <d v="2024-01-03T00:00:00"/>
    <x v="0"/>
    <n v="14319"/>
    <n v="4428"/>
    <n v="3.31"/>
    <n v="36"/>
  </r>
  <r>
    <x v="886"/>
    <x v="886"/>
    <x v="5"/>
    <x v="2"/>
    <d v="2023-10-28T00:00:00"/>
    <x v="0"/>
    <n v="2324"/>
    <n v="6152"/>
    <n v="3.91"/>
    <n v="18"/>
  </r>
  <r>
    <x v="887"/>
    <x v="887"/>
    <x v="2"/>
    <x v="0"/>
    <d v="2022-04-12T00:00:00"/>
    <x v="0"/>
    <n v="6137"/>
    <n v="1513"/>
    <n v="2.93"/>
    <n v="86"/>
  </r>
  <r>
    <x v="888"/>
    <x v="888"/>
    <x v="0"/>
    <x v="2"/>
    <d v="2023-08-19T00:00:00"/>
    <x v="0"/>
    <n v="3993"/>
    <n v="488"/>
    <n v="3.87"/>
    <n v="30"/>
  </r>
  <r>
    <x v="889"/>
    <x v="889"/>
    <x v="6"/>
    <x v="0"/>
    <d v="2024-01-05T00:00:00"/>
    <x v="0"/>
    <n v="3592"/>
    <n v="5288"/>
    <n v="2.31"/>
    <n v="57"/>
  </r>
  <r>
    <x v="890"/>
    <x v="890"/>
    <x v="5"/>
    <x v="3"/>
    <d v="2024-01-31T00:00:00"/>
    <x v="0"/>
    <n v="6150"/>
    <n v="7731"/>
    <n v="2.79"/>
    <n v="15"/>
  </r>
  <r>
    <x v="891"/>
    <x v="891"/>
    <x v="3"/>
    <x v="2"/>
    <d v="2022-04-13T00:00:00"/>
    <x v="2"/>
    <n v="6690"/>
    <n v="9543"/>
    <n v="3.4"/>
    <n v="56"/>
  </r>
  <r>
    <x v="892"/>
    <x v="892"/>
    <x v="5"/>
    <x v="2"/>
    <d v="2022-02-22T00:00:00"/>
    <x v="1"/>
    <n v="11719"/>
    <n v="2949"/>
    <n v="2.93"/>
    <n v="107"/>
  </r>
  <r>
    <x v="893"/>
    <x v="893"/>
    <x v="1"/>
    <x v="1"/>
    <d v="2024-06-04T00:00:00"/>
    <x v="0"/>
    <n v="2659"/>
    <n v="2093"/>
    <n v="3.8"/>
    <n v="101"/>
  </r>
  <r>
    <x v="894"/>
    <x v="894"/>
    <x v="0"/>
    <x v="3"/>
    <d v="2022-12-27T00:00:00"/>
    <x v="0"/>
    <n v="9484"/>
    <n v="2759"/>
    <n v="2.25"/>
    <n v="114"/>
  </r>
  <r>
    <x v="895"/>
    <x v="895"/>
    <x v="7"/>
    <x v="1"/>
    <d v="2022-11-27T00:00:00"/>
    <x v="0"/>
    <n v="2133"/>
    <n v="244"/>
    <n v="3.72"/>
    <n v="17"/>
  </r>
  <r>
    <x v="896"/>
    <x v="896"/>
    <x v="0"/>
    <x v="0"/>
    <d v="2022-06-22T00:00:00"/>
    <x v="0"/>
    <n v="6910"/>
    <n v="6618"/>
    <n v="2.23"/>
    <n v="19"/>
  </r>
  <r>
    <x v="897"/>
    <x v="897"/>
    <x v="3"/>
    <x v="1"/>
    <d v="2022-07-26T00:00:00"/>
    <x v="0"/>
    <n v="13914"/>
    <n v="7642"/>
    <n v="3.94"/>
    <n v="57"/>
  </r>
  <r>
    <x v="898"/>
    <x v="898"/>
    <x v="3"/>
    <x v="0"/>
    <d v="2023-03-31T00:00:00"/>
    <x v="1"/>
    <n v="11039"/>
    <n v="9104"/>
    <n v="3.98"/>
    <n v="52"/>
  </r>
  <r>
    <x v="899"/>
    <x v="899"/>
    <x v="3"/>
    <x v="0"/>
    <d v="2022-07-31T00:00:00"/>
    <x v="0"/>
    <n v="8134"/>
    <n v="3190"/>
    <n v="2.73"/>
    <n v="68"/>
  </r>
  <r>
    <x v="900"/>
    <x v="900"/>
    <x v="6"/>
    <x v="2"/>
    <d v="2023-09-06T00:00:00"/>
    <x v="1"/>
    <n v="5424"/>
    <n v="5871"/>
    <n v="3.18"/>
    <n v="32"/>
  </r>
  <r>
    <x v="901"/>
    <x v="901"/>
    <x v="2"/>
    <x v="3"/>
    <d v="2023-01-22T00:00:00"/>
    <x v="0"/>
    <n v="14379"/>
    <n v="7146"/>
    <n v="3.15"/>
    <n v="80"/>
  </r>
  <r>
    <x v="902"/>
    <x v="902"/>
    <x v="7"/>
    <x v="1"/>
    <d v="2023-07-08T00:00:00"/>
    <x v="0"/>
    <n v="5400"/>
    <n v="6864"/>
    <n v="3.76"/>
    <n v="88"/>
  </r>
  <r>
    <x v="903"/>
    <x v="903"/>
    <x v="3"/>
    <x v="3"/>
    <d v="2022-08-17T00:00:00"/>
    <x v="1"/>
    <n v="9862"/>
    <n v="3356"/>
    <n v="3.23"/>
    <n v="103"/>
  </r>
  <r>
    <x v="904"/>
    <x v="904"/>
    <x v="0"/>
    <x v="3"/>
    <d v="2024-03-06T00:00:00"/>
    <x v="0"/>
    <n v="8496"/>
    <n v="3990"/>
    <n v="2.1800000000000002"/>
    <n v="44"/>
  </r>
  <r>
    <x v="905"/>
    <x v="905"/>
    <x v="7"/>
    <x v="3"/>
    <d v="2022-08-28T00:00:00"/>
    <x v="0"/>
    <n v="7820"/>
    <n v="809"/>
    <n v="2.75"/>
    <n v="64"/>
  </r>
  <r>
    <x v="906"/>
    <x v="906"/>
    <x v="5"/>
    <x v="2"/>
    <d v="2024-04-20T00:00:00"/>
    <x v="0"/>
    <n v="14630"/>
    <n v="7086"/>
    <n v="2.0099999999999998"/>
    <n v="31"/>
  </r>
  <r>
    <x v="907"/>
    <x v="907"/>
    <x v="2"/>
    <x v="1"/>
    <d v="2022-10-14T00:00:00"/>
    <x v="0"/>
    <n v="7470"/>
    <n v="6312"/>
    <n v="3.06"/>
    <n v="86"/>
  </r>
  <r>
    <x v="908"/>
    <x v="908"/>
    <x v="1"/>
    <x v="1"/>
    <d v="2022-04-03T00:00:00"/>
    <x v="0"/>
    <n v="6296"/>
    <n v="958"/>
    <n v="3.45"/>
    <n v="62"/>
  </r>
  <r>
    <x v="909"/>
    <x v="909"/>
    <x v="7"/>
    <x v="3"/>
    <d v="2022-07-28T00:00:00"/>
    <x v="1"/>
    <n v="2346"/>
    <n v="5333"/>
    <n v="2.74"/>
    <n v="105"/>
  </r>
  <r>
    <x v="910"/>
    <x v="910"/>
    <x v="1"/>
    <x v="0"/>
    <d v="2024-03-26T00:00:00"/>
    <x v="0"/>
    <n v="5749"/>
    <n v="6273"/>
    <n v="3.05"/>
    <n v="26"/>
  </r>
  <r>
    <x v="911"/>
    <x v="911"/>
    <x v="4"/>
    <x v="0"/>
    <d v="2024-06-14T00:00:00"/>
    <x v="0"/>
    <n v="10732"/>
    <n v="29"/>
    <n v="3.03"/>
    <n v="44"/>
  </r>
  <r>
    <x v="912"/>
    <x v="912"/>
    <x v="5"/>
    <x v="0"/>
    <d v="2022-07-11T00:00:00"/>
    <x v="2"/>
    <n v="5938"/>
    <n v="8341"/>
    <n v="2.99"/>
    <n v="101"/>
  </r>
  <r>
    <x v="913"/>
    <x v="913"/>
    <x v="4"/>
    <x v="2"/>
    <d v="2024-01-11T00:00:00"/>
    <x v="0"/>
    <n v="3278"/>
    <n v="1851"/>
    <n v="3.37"/>
    <n v="85"/>
  </r>
  <r>
    <x v="914"/>
    <x v="914"/>
    <x v="7"/>
    <x v="0"/>
    <d v="2023-06-06T00:00:00"/>
    <x v="0"/>
    <n v="14845"/>
    <n v="823"/>
    <n v="3.11"/>
    <n v="27"/>
  </r>
  <r>
    <x v="915"/>
    <x v="915"/>
    <x v="6"/>
    <x v="2"/>
    <d v="2022-03-26T00:00:00"/>
    <x v="1"/>
    <n v="11658"/>
    <n v="2778"/>
    <n v="3.52"/>
    <n v="95"/>
  </r>
  <r>
    <x v="916"/>
    <x v="916"/>
    <x v="0"/>
    <x v="1"/>
    <d v="2024-04-28T00:00:00"/>
    <x v="1"/>
    <n v="11979"/>
    <n v="4170"/>
    <n v="2.75"/>
    <n v="22"/>
  </r>
  <r>
    <x v="917"/>
    <x v="917"/>
    <x v="2"/>
    <x v="2"/>
    <d v="2022-08-29T00:00:00"/>
    <x v="0"/>
    <n v="5650"/>
    <n v="9181"/>
    <n v="3.13"/>
    <n v="18"/>
  </r>
  <r>
    <x v="918"/>
    <x v="918"/>
    <x v="3"/>
    <x v="0"/>
    <d v="2023-04-02T00:00:00"/>
    <x v="2"/>
    <n v="9224"/>
    <n v="5014"/>
    <n v="2.75"/>
    <n v="79"/>
  </r>
  <r>
    <x v="919"/>
    <x v="919"/>
    <x v="1"/>
    <x v="2"/>
    <d v="2023-07-08T00:00:00"/>
    <x v="1"/>
    <n v="12893"/>
    <n v="6823"/>
    <n v="3.9"/>
    <n v="62"/>
  </r>
  <r>
    <x v="920"/>
    <x v="920"/>
    <x v="5"/>
    <x v="0"/>
    <d v="2023-11-16T00:00:00"/>
    <x v="0"/>
    <n v="10635"/>
    <n v="7334"/>
    <n v="2.12"/>
    <n v="87"/>
  </r>
  <r>
    <x v="921"/>
    <x v="921"/>
    <x v="0"/>
    <x v="3"/>
    <d v="2022-05-06T00:00:00"/>
    <x v="1"/>
    <n v="5161"/>
    <n v="3191"/>
    <n v="3.4"/>
    <n v="18"/>
  </r>
  <r>
    <x v="922"/>
    <x v="922"/>
    <x v="2"/>
    <x v="3"/>
    <d v="2024-01-17T00:00:00"/>
    <x v="1"/>
    <n v="2310"/>
    <n v="7992"/>
    <n v="3.78"/>
    <n v="84"/>
  </r>
  <r>
    <x v="923"/>
    <x v="923"/>
    <x v="5"/>
    <x v="1"/>
    <d v="2022-12-07T00:00:00"/>
    <x v="1"/>
    <n v="14238"/>
    <n v="3624"/>
    <n v="2.0499999999999998"/>
    <n v="111"/>
  </r>
  <r>
    <x v="924"/>
    <x v="924"/>
    <x v="2"/>
    <x v="1"/>
    <d v="2022-07-20T00:00:00"/>
    <x v="0"/>
    <n v="6256"/>
    <n v="9774"/>
    <n v="3.04"/>
    <n v="92"/>
  </r>
  <r>
    <x v="925"/>
    <x v="925"/>
    <x v="5"/>
    <x v="1"/>
    <d v="2022-09-05T00:00:00"/>
    <x v="2"/>
    <n v="12707"/>
    <n v="6931"/>
    <n v="3.19"/>
    <n v="46"/>
  </r>
  <r>
    <x v="926"/>
    <x v="926"/>
    <x v="4"/>
    <x v="1"/>
    <d v="2022-05-27T00:00:00"/>
    <x v="0"/>
    <n v="14485"/>
    <n v="2925"/>
    <n v="2.13"/>
    <n v="15"/>
  </r>
  <r>
    <x v="927"/>
    <x v="927"/>
    <x v="0"/>
    <x v="0"/>
    <d v="2023-09-14T00:00:00"/>
    <x v="0"/>
    <n v="6109"/>
    <n v="1355"/>
    <n v="3.41"/>
    <n v="97"/>
  </r>
  <r>
    <x v="928"/>
    <x v="928"/>
    <x v="5"/>
    <x v="1"/>
    <d v="2024-02-23T00:00:00"/>
    <x v="2"/>
    <n v="12380"/>
    <n v="7327"/>
    <n v="2.54"/>
    <n v="72"/>
  </r>
  <r>
    <x v="929"/>
    <x v="929"/>
    <x v="5"/>
    <x v="1"/>
    <d v="2022-04-24T00:00:00"/>
    <x v="1"/>
    <n v="7050"/>
    <n v="537"/>
    <n v="2.84"/>
    <n v="68"/>
  </r>
  <r>
    <x v="930"/>
    <x v="930"/>
    <x v="2"/>
    <x v="3"/>
    <d v="2022-06-26T00:00:00"/>
    <x v="1"/>
    <n v="13686"/>
    <n v="5137"/>
    <n v="3.59"/>
    <n v="75"/>
  </r>
  <r>
    <x v="931"/>
    <x v="931"/>
    <x v="5"/>
    <x v="0"/>
    <d v="2024-04-18T00:00:00"/>
    <x v="0"/>
    <n v="3224"/>
    <n v="6436"/>
    <n v="3.96"/>
    <n v="103"/>
  </r>
  <r>
    <x v="932"/>
    <x v="932"/>
    <x v="5"/>
    <x v="2"/>
    <d v="2022-06-14T00:00:00"/>
    <x v="0"/>
    <n v="8505"/>
    <n v="8006"/>
    <n v="2.61"/>
    <n v="10"/>
  </r>
  <r>
    <x v="933"/>
    <x v="933"/>
    <x v="0"/>
    <x v="0"/>
    <d v="2023-02-08T00:00:00"/>
    <x v="1"/>
    <n v="8846"/>
    <n v="1192"/>
    <n v="3.59"/>
    <n v="36"/>
  </r>
  <r>
    <x v="934"/>
    <x v="934"/>
    <x v="3"/>
    <x v="1"/>
    <d v="2023-06-26T00:00:00"/>
    <x v="0"/>
    <n v="12177"/>
    <n v="6105"/>
    <n v="2.98"/>
    <n v="55"/>
  </r>
  <r>
    <x v="935"/>
    <x v="935"/>
    <x v="5"/>
    <x v="1"/>
    <d v="2022-09-10T00:00:00"/>
    <x v="0"/>
    <n v="2016"/>
    <n v="2170"/>
    <n v="3.56"/>
    <n v="41"/>
  </r>
  <r>
    <x v="936"/>
    <x v="936"/>
    <x v="0"/>
    <x v="3"/>
    <d v="2023-04-10T00:00:00"/>
    <x v="1"/>
    <n v="11375"/>
    <n v="6971"/>
    <n v="3.52"/>
    <n v="72"/>
  </r>
  <r>
    <x v="937"/>
    <x v="937"/>
    <x v="3"/>
    <x v="0"/>
    <d v="2023-11-22T00:00:00"/>
    <x v="0"/>
    <n v="2240"/>
    <n v="359"/>
    <n v="3.9"/>
    <n v="48"/>
  </r>
  <r>
    <x v="938"/>
    <x v="938"/>
    <x v="0"/>
    <x v="2"/>
    <d v="2022-06-26T00:00:00"/>
    <x v="1"/>
    <n v="6615"/>
    <n v="6355"/>
    <n v="3.2"/>
    <n v="40"/>
  </r>
  <r>
    <x v="939"/>
    <x v="939"/>
    <x v="1"/>
    <x v="3"/>
    <d v="2022-11-22T00:00:00"/>
    <x v="0"/>
    <n v="10054"/>
    <n v="4005"/>
    <n v="3.66"/>
    <n v="61"/>
  </r>
  <r>
    <x v="940"/>
    <x v="940"/>
    <x v="6"/>
    <x v="1"/>
    <d v="2023-11-10T00:00:00"/>
    <x v="0"/>
    <n v="10579"/>
    <n v="4678"/>
    <n v="3.15"/>
    <n v="43"/>
  </r>
  <r>
    <x v="941"/>
    <x v="941"/>
    <x v="6"/>
    <x v="0"/>
    <d v="2023-03-11T00:00:00"/>
    <x v="0"/>
    <n v="2260"/>
    <n v="2232"/>
    <n v="2.94"/>
    <n v="35"/>
  </r>
  <r>
    <x v="942"/>
    <x v="942"/>
    <x v="6"/>
    <x v="1"/>
    <d v="2024-03-22T00:00:00"/>
    <x v="1"/>
    <n v="7638"/>
    <n v="5209"/>
    <n v="3.8"/>
    <n v="21"/>
  </r>
  <r>
    <x v="943"/>
    <x v="943"/>
    <x v="2"/>
    <x v="3"/>
    <d v="2023-11-28T00:00:00"/>
    <x v="0"/>
    <n v="3557"/>
    <n v="2458"/>
    <n v="2.95"/>
    <n v="116"/>
  </r>
  <r>
    <x v="944"/>
    <x v="944"/>
    <x v="4"/>
    <x v="0"/>
    <d v="2022-07-27T00:00:00"/>
    <x v="0"/>
    <n v="4417"/>
    <n v="1293"/>
    <n v="3.32"/>
    <n v="92"/>
  </r>
  <r>
    <x v="945"/>
    <x v="945"/>
    <x v="1"/>
    <x v="1"/>
    <d v="2022-07-18T00:00:00"/>
    <x v="0"/>
    <n v="12066"/>
    <n v="8134"/>
    <n v="3.63"/>
    <n v="103"/>
  </r>
  <r>
    <x v="946"/>
    <x v="946"/>
    <x v="7"/>
    <x v="2"/>
    <d v="2024-01-24T00:00:00"/>
    <x v="0"/>
    <n v="2266"/>
    <n v="3921"/>
    <n v="3.84"/>
    <n v="3"/>
  </r>
  <r>
    <x v="947"/>
    <x v="947"/>
    <x v="5"/>
    <x v="2"/>
    <d v="2024-04-07T00:00:00"/>
    <x v="0"/>
    <n v="2363"/>
    <n v="3593"/>
    <n v="2.56"/>
    <n v="119"/>
  </r>
  <r>
    <x v="948"/>
    <x v="948"/>
    <x v="0"/>
    <x v="1"/>
    <d v="2022-04-27T00:00:00"/>
    <x v="2"/>
    <n v="2336"/>
    <n v="7138"/>
    <n v="3.58"/>
    <n v="94"/>
  </r>
  <r>
    <x v="949"/>
    <x v="949"/>
    <x v="7"/>
    <x v="2"/>
    <d v="2023-03-21T00:00:00"/>
    <x v="1"/>
    <n v="14712"/>
    <n v="9626"/>
    <n v="2.92"/>
    <n v="18"/>
  </r>
  <r>
    <x v="950"/>
    <x v="950"/>
    <x v="0"/>
    <x v="1"/>
    <d v="2022-04-06T00:00:00"/>
    <x v="1"/>
    <n v="5822"/>
    <n v="3156"/>
    <n v="2.89"/>
    <n v="53"/>
  </r>
  <r>
    <x v="951"/>
    <x v="951"/>
    <x v="2"/>
    <x v="2"/>
    <d v="2024-04-25T00:00:00"/>
    <x v="1"/>
    <n v="13010"/>
    <n v="5677"/>
    <n v="2.0299999999999998"/>
    <n v="72"/>
  </r>
  <r>
    <x v="952"/>
    <x v="952"/>
    <x v="1"/>
    <x v="0"/>
    <d v="2024-05-02T00:00:00"/>
    <x v="1"/>
    <n v="6167"/>
    <n v="6095"/>
    <n v="2.99"/>
    <n v="94"/>
  </r>
  <r>
    <x v="953"/>
    <x v="953"/>
    <x v="7"/>
    <x v="2"/>
    <d v="2022-05-07T00:00:00"/>
    <x v="1"/>
    <n v="3815"/>
    <n v="2083"/>
    <n v="3.66"/>
    <n v="92"/>
  </r>
  <r>
    <x v="954"/>
    <x v="954"/>
    <x v="0"/>
    <x v="3"/>
    <d v="2022-06-18T00:00:00"/>
    <x v="1"/>
    <n v="6719"/>
    <n v="7812"/>
    <n v="3.91"/>
    <n v="116"/>
  </r>
  <r>
    <x v="955"/>
    <x v="955"/>
    <x v="3"/>
    <x v="1"/>
    <d v="2023-11-22T00:00:00"/>
    <x v="0"/>
    <n v="4490"/>
    <n v="1702"/>
    <n v="2.7"/>
    <n v="94"/>
  </r>
  <r>
    <x v="956"/>
    <x v="956"/>
    <x v="1"/>
    <x v="1"/>
    <d v="2023-07-03T00:00:00"/>
    <x v="1"/>
    <n v="9668"/>
    <n v="1839"/>
    <n v="2.5099999999999998"/>
    <n v="85"/>
  </r>
  <r>
    <x v="957"/>
    <x v="957"/>
    <x v="4"/>
    <x v="0"/>
    <d v="2023-10-17T00:00:00"/>
    <x v="0"/>
    <n v="2432"/>
    <n v="5071"/>
    <n v="3.8"/>
    <n v="49"/>
  </r>
  <r>
    <x v="958"/>
    <x v="958"/>
    <x v="3"/>
    <x v="0"/>
    <d v="2023-01-30T00:00:00"/>
    <x v="0"/>
    <n v="3242"/>
    <n v="9900"/>
    <n v="3.85"/>
    <n v="83"/>
  </r>
  <r>
    <x v="959"/>
    <x v="959"/>
    <x v="2"/>
    <x v="3"/>
    <d v="2022-09-14T00:00:00"/>
    <x v="1"/>
    <n v="14853"/>
    <n v="6485"/>
    <n v="3.3"/>
    <n v="2"/>
  </r>
  <r>
    <x v="960"/>
    <x v="960"/>
    <x v="2"/>
    <x v="0"/>
    <d v="2024-04-18T00:00:00"/>
    <x v="0"/>
    <n v="11497"/>
    <n v="8841"/>
    <n v="2.23"/>
    <n v="50"/>
  </r>
  <r>
    <x v="961"/>
    <x v="961"/>
    <x v="5"/>
    <x v="1"/>
    <d v="2023-11-07T00:00:00"/>
    <x v="1"/>
    <n v="2983"/>
    <n v="8417"/>
    <n v="2.6"/>
    <n v="2"/>
  </r>
  <r>
    <x v="962"/>
    <x v="962"/>
    <x v="6"/>
    <x v="1"/>
    <d v="2022-08-10T00:00:00"/>
    <x v="1"/>
    <n v="2880"/>
    <n v="2545"/>
    <n v="2.57"/>
    <n v="32"/>
  </r>
  <r>
    <x v="963"/>
    <x v="963"/>
    <x v="6"/>
    <x v="1"/>
    <d v="2022-04-08T00:00:00"/>
    <x v="0"/>
    <n v="6951"/>
    <n v="321"/>
    <n v="2.7"/>
    <n v="61"/>
  </r>
  <r>
    <x v="964"/>
    <x v="964"/>
    <x v="1"/>
    <x v="1"/>
    <d v="2023-07-02T00:00:00"/>
    <x v="1"/>
    <n v="8612"/>
    <n v="1423"/>
    <n v="3.76"/>
    <n v="71"/>
  </r>
  <r>
    <x v="965"/>
    <x v="965"/>
    <x v="1"/>
    <x v="3"/>
    <d v="2024-01-18T00:00:00"/>
    <x v="0"/>
    <n v="8900"/>
    <n v="4345"/>
    <n v="3.25"/>
    <n v="35"/>
  </r>
  <r>
    <x v="966"/>
    <x v="966"/>
    <x v="2"/>
    <x v="2"/>
    <d v="2024-03-28T00:00:00"/>
    <x v="1"/>
    <n v="10147"/>
    <n v="592"/>
    <n v="3.12"/>
    <n v="72"/>
  </r>
  <r>
    <x v="967"/>
    <x v="967"/>
    <x v="7"/>
    <x v="2"/>
    <d v="2022-06-01T00:00:00"/>
    <x v="0"/>
    <n v="11524"/>
    <n v="885"/>
    <n v="3.48"/>
    <n v="39"/>
  </r>
  <r>
    <x v="968"/>
    <x v="968"/>
    <x v="7"/>
    <x v="2"/>
    <d v="2022-01-22T00:00:00"/>
    <x v="0"/>
    <n v="9115"/>
    <n v="8808"/>
    <n v="3.15"/>
    <n v="57"/>
  </r>
  <r>
    <x v="969"/>
    <x v="969"/>
    <x v="6"/>
    <x v="3"/>
    <d v="2022-07-29T00:00:00"/>
    <x v="0"/>
    <n v="14396"/>
    <n v="1245"/>
    <n v="2.91"/>
    <n v="89"/>
  </r>
  <r>
    <x v="970"/>
    <x v="970"/>
    <x v="6"/>
    <x v="2"/>
    <d v="2023-05-31T00:00:00"/>
    <x v="1"/>
    <n v="8599"/>
    <n v="3888"/>
    <n v="2.88"/>
    <n v="8"/>
  </r>
  <r>
    <x v="971"/>
    <x v="971"/>
    <x v="3"/>
    <x v="1"/>
    <d v="2024-03-02T00:00:00"/>
    <x v="0"/>
    <n v="14700"/>
    <n v="4688"/>
    <n v="3.69"/>
    <n v="34"/>
  </r>
  <r>
    <x v="972"/>
    <x v="972"/>
    <x v="6"/>
    <x v="2"/>
    <d v="2024-04-03T00:00:00"/>
    <x v="0"/>
    <n v="9199"/>
    <n v="9495"/>
    <n v="3.04"/>
    <n v="20"/>
  </r>
  <r>
    <x v="973"/>
    <x v="973"/>
    <x v="5"/>
    <x v="3"/>
    <d v="2024-01-17T00:00:00"/>
    <x v="2"/>
    <n v="6798"/>
    <n v="3454"/>
    <n v="2.97"/>
    <n v="28"/>
  </r>
  <r>
    <x v="974"/>
    <x v="974"/>
    <x v="7"/>
    <x v="3"/>
    <d v="2022-06-19T00:00:00"/>
    <x v="0"/>
    <n v="7093"/>
    <n v="2651"/>
    <n v="2.2999999999999998"/>
    <n v="75"/>
  </r>
  <r>
    <x v="975"/>
    <x v="975"/>
    <x v="6"/>
    <x v="2"/>
    <d v="2024-01-04T00:00:00"/>
    <x v="1"/>
    <n v="10111"/>
    <n v="3264"/>
    <n v="3.75"/>
    <n v="97"/>
  </r>
  <r>
    <x v="976"/>
    <x v="976"/>
    <x v="6"/>
    <x v="2"/>
    <d v="2023-08-19T00:00:00"/>
    <x v="0"/>
    <n v="14720"/>
    <n v="6666"/>
    <n v="3.08"/>
    <n v="2"/>
  </r>
  <r>
    <x v="977"/>
    <x v="977"/>
    <x v="3"/>
    <x v="3"/>
    <d v="2023-09-14T00:00:00"/>
    <x v="1"/>
    <n v="3574"/>
    <n v="294"/>
    <n v="2.4700000000000002"/>
    <n v="107"/>
  </r>
  <r>
    <x v="978"/>
    <x v="978"/>
    <x v="1"/>
    <x v="1"/>
    <d v="2022-05-31T00:00:00"/>
    <x v="0"/>
    <n v="12664"/>
    <n v="7109"/>
    <n v="2.2000000000000002"/>
    <n v="91"/>
  </r>
  <r>
    <x v="979"/>
    <x v="979"/>
    <x v="2"/>
    <x v="1"/>
    <d v="2024-04-16T00:00:00"/>
    <x v="0"/>
    <n v="9618"/>
    <n v="6312"/>
    <n v="2.25"/>
    <n v="78"/>
  </r>
  <r>
    <x v="980"/>
    <x v="980"/>
    <x v="5"/>
    <x v="1"/>
    <d v="2024-06-04T00:00:00"/>
    <x v="1"/>
    <n v="9706"/>
    <n v="5288"/>
    <n v="2.27"/>
    <n v="6"/>
  </r>
  <r>
    <x v="981"/>
    <x v="981"/>
    <x v="0"/>
    <x v="3"/>
    <d v="2022-01-24T00:00:00"/>
    <x v="0"/>
    <n v="8994"/>
    <n v="9832"/>
    <n v="2.46"/>
    <n v="107"/>
  </r>
  <r>
    <x v="982"/>
    <x v="982"/>
    <x v="0"/>
    <x v="2"/>
    <d v="2022-11-15T00:00:00"/>
    <x v="1"/>
    <n v="6439"/>
    <n v="6901"/>
    <n v="3.1"/>
    <n v="80"/>
  </r>
  <r>
    <x v="983"/>
    <x v="983"/>
    <x v="2"/>
    <x v="0"/>
    <d v="2024-02-02T00:00:00"/>
    <x v="0"/>
    <n v="6534"/>
    <n v="9500"/>
    <n v="3.61"/>
    <n v="111"/>
  </r>
  <r>
    <x v="984"/>
    <x v="984"/>
    <x v="7"/>
    <x v="0"/>
    <d v="2022-09-02T00:00:00"/>
    <x v="0"/>
    <n v="7590"/>
    <n v="408"/>
    <n v="3.97"/>
    <n v="46"/>
  </r>
  <r>
    <x v="985"/>
    <x v="985"/>
    <x v="2"/>
    <x v="2"/>
    <d v="2022-11-15T00:00:00"/>
    <x v="2"/>
    <n v="7475"/>
    <n v="7710"/>
    <n v="2.4500000000000002"/>
    <n v="62"/>
  </r>
  <r>
    <x v="986"/>
    <x v="986"/>
    <x v="0"/>
    <x v="2"/>
    <d v="2023-10-10T00:00:00"/>
    <x v="0"/>
    <n v="3693"/>
    <n v="4367"/>
    <n v="3.65"/>
    <n v="28"/>
  </r>
  <r>
    <x v="987"/>
    <x v="987"/>
    <x v="6"/>
    <x v="2"/>
    <d v="2024-04-16T00:00:00"/>
    <x v="0"/>
    <n v="11396"/>
    <n v="8283"/>
    <n v="2.2200000000000002"/>
    <n v="98"/>
  </r>
  <r>
    <x v="988"/>
    <x v="988"/>
    <x v="7"/>
    <x v="0"/>
    <d v="2022-12-26T00:00:00"/>
    <x v="0"/>
    <n v="8610"/>
    <n v="2022"/>
    <n v="3.47"/>
    <n v="16"/>
  </r>
  <r>
    <x v="989"/>
    <x v="989"/>
    <x v="6"/>
    <x v="0"/>
    <d v="2023-10-10T00:00:00"/>
    <x v="0"/>
    <n v="3027"/>
    <n v="8764"/>
    <n v="3.34"/>
    <n v="116"/>
  </r>
  <r>
    <x v="990"/>
    <x v="990"/>
    <x v="4"/>
    <x v="0"/>
    <d v="2023-05-31T00:00:00"/>
    <x v="0"/>
    <n v="4944"/>
    <n v="8402"/>
    <n v="3.07"/>
    <n v="79"/>
  </r>
  <r>
    <x v="991"/>
    <x v="991"/>
    <x v="3"/>
    <x v="1"/>
    <d v="2024-03-07T00:00:00"/>
    <x v="0"/>
    <n v="9032"/>
    <n v="7939"/>
    <n v="2.56"/>
    <n v="8"/>
  </r>
  <r>
    <x v="992"/>
    <x v="992"/>
    <x v="3"/>
    <x v="3"/>
    <d v="2023-11-26T00:00:00"/>
    <x v="0"/>
    <n v="10427"/>
    <n v="7298"/>
    <n v="3.54"/>
    <n v="119"/>
  </r>
  <r>
    <x v="993"/>
    <x v="993"/>
    <x v="5"/>
    <x v="2"/>
    <d v="2024-04-09T00:00:00"/>
    <x v="0"/>
    <n v="6051"/>
    <n v="7108"/>
    <n v="3.2"/>
    <n v="99"/>
  </r>
  <r>
    <x v="994"/>
    <x v="994"/>
    <x v="0"/>
    <x v="3"/>
    <d v="2023-12-02T00:00:00"/>
    <x v="0"/>
    <n v="5499"/>
    <n v="8616"/>
    <n v="3.07"/>
    <n v="23"/>
  </r>
  <r>
    <x v="995"/>
    <x v="995"/>
    <x v="3"/>
    <x v="0"/>
    <d v="2024-01-10T00:00:00"/>
    <x v="1"/>
    <n v="5005"/>
    <n v="9438"/>
    <n v="3.13"/>
    <n v="24"/>
  </r>
  <r>
    <x v="996"/>
    <x v="996"/>
    <x v="6"/>
    <x v="3"/>
    <d v="2022-12-22T00:00:00"/>
    <x v="0"/>
    <n v="11045"/>
    <n v="9251"/>
    <n v="2.93"/>
    <n v="87"/>
  </r>
  <r>
    <x v="997"/>
    <x v="997"/>
    <x v="6"/>
    <x v="1"/>
    <d v="2022-02-09T00:00:00"/>
    <x v="1"/>
    <n v="12297"/>
    <n v="4680"/>
    <n v="2.02"/>
    <n v="58"/>
  </r>
  <r>
    <x v="998"/>
    <x v="998"/>
    <x v="1"/>
    <x v="1"/>
    <d v="2022-11-06T00:00:00"/>
    <x v="0"/>
    <n v="4317"/>
    <n v="1427"/>
    <n v="3.55"/>
    <n v="76"/>
  </r>
  <r>
    <x v="999"/>
    <x v="999"/>
    <x v="0"/>
    <x v="3"/>
    <d v="2022-03-07T00:00:00"/>
    <x v="1"/>
    <n v="14569"/>
    <n v="9058"/>
    <n v="2.4"/>
    <n v="29"/>
  </r>
  <r>
    <x v="1000"/>
    <x v="1000"/>
    <x v="2"/>
    <x v="0"/>
    <d v="2022-12-23T00:00:00"/>
    <x v="0"/>
    <n v="12134"/>
    <n v="3119"/>
    <n v="2.91"/>
    <n v="4"/>
  </r>
  <r>
    <x v="1001"/>
    <x v="1001"/>
    <x v="3"/>
    <x v="3"/>
    <d v="2023-01-02T00:00:00"/>
    <x v="2"/>
    <n v="11342"/>
    <n v="152"/>
    <n v="3.13"/>
    <n v="0"/>
  </r>
  <r>
    <x v="1002"/>
    <x v="1002"/>
    <x v="4"/>
    <x v="0"/>
    <d v="2022-09-12T00:00:00"/>
    <x v="0"/>
    <n v="2607"/>
    <n v="2463"/>
    <n v="2.52"/>
    <n v="17"/>
  </r>
  <r>
    <x v="1003"/>
    <x v="1003"/>
    <x v="1"/>
    <x v="0"/>
    <d v="2024-03-14T00:00:00"/>
    <x v="2"/>
    <n v="5479"/>
    <n v="9211"/>
    <n v="2.78"/>
    <n v="8"/>
  </r>
  <r>
    <x v="1004"/>
    <x v="1004"/>
    <x v="7"/>
    <x v="0"/>
    <d v="2022-06-04T00:00:00"/>
    <x v="1"/>
    <n v="6615"/>
    <n v="1700"/>
    <n v="3.92"/>
    <n v="96"/>
  </r>
  <r>
    <x v="1005"/>
    <x v="1005"/>
    <x v="0"/>
    <x v="1"/>
    <d v="2023-08-26T00:00:00"/>
    <x v="0"/>
    <n v="4176"/>
    <n v="9643"/>
    <n v="3.3"/>
    <n v="12"/>
  </r>
  <r>
    <x v="1006"/>
    <x v="1006"/>
    <x v="5"/>
    <x v="1"/>
    <d v="2024-05-05T00:00:00"/>
    <x v="1"/>
    <n v="3536"/>
    <n v="5079"/>
    <n v="2.46"/>
    <n v="108"/>
  </r>
  <r>
    <x v="1007"/>
    <x v="1007"/>
    <x v="5"/>
    <x v="0"/>
    <d v="2023-12-25T00:00:00"/>
    <x v="0"/>
    <n v="9886"/>
    <n v="4015"/>
    <n v="2.63"/>
    <n v="80"/>
  </r>
  <r>
    <x v="1008"/>
    <x v="1008"/>
    <x v="2"/>
    <x v="3"/>
    <d v="2023-12-21T00:00:00"/>
    <x v="2"/>
    <n v="6048"/>
    <n v="5071"/>
    <n v="3.78"/>
    <n v="84"/>
  </r>
  <r>
    <x v="1009"/>
    <x v="1009"/>
    <x v="0"/>
    <x v="2"/>
    <d v="2022-01-18T00:00:00"/>
    <x v="2"/>
    <n v="4181"/>
    <n v="800"/>
    <n v="3.94"/>
    <n v="91"/>
  </r>
  <r>
    <x v="1010"/>
    <x v="1010"/>
    <x v="5"/>
    <x v="2"/>
    <d v="2022-05-12T00:00:00"/>
    <x v="0"/>
    <n v="7377"/>
    <n v="1185"/>
    <n v="2.25"/>
    <n v="96"/>
  </r>
  <r>
    <x v="1011"/>
    <x v="1011"/>
    <x v="2"/>
    <x v="1"/>
    <d v="2022-04-22T00:00:00"/>
    <x v="0"/>
    <n v="14234"/>
    <n v="2693"/>
    <n v="2.0299999999999998"/>
    <n v="34"/>
  </r>
  <r>
    <x v="1012"/>
    <x v="1012"/>
    <x v="5"/>
    <x v="0"/>
    <d v="2024-03-09T00:00:00"/>
    <x v="1"/>
    <n v="4357"/>
    <n v="8371"/>
    <n v="3.08"/>
    <n v="89"/>
  </r>
  <r>
    <x v="1013"/>
    <x v="1013"/>
    <x v="2"/>
    <x v="3"/>
    <d v="2023-05-19T00:00:00"/>
    <x v="0"/>
    <n v="6176"/>
    <n v="7401"/>
    <n v="2.68"/>
    <n v="68"/>
  </r>
  <r>
    <x v="1014"/>
    <x v="1014"/>
    <x v="7"/>
    <x v="3"/>
    <d v="2023-03-28T00:00:00"/>
    <x v="0"/>
    <n v="14399"/>
    <n v="7150"/>
    <n v="2.95"/>
    <n v="21"/>
  </r>
  <r>
    <x v="1015"/>
    <x v="1015"/>
    <x v="4"/>
    <x v="0"/>
    <d v="2022-01-03T00:00:00"/>
    <x v="0"/>
    <n v="13434"/>
    <n v="9599"/>
    <n v="2.15"/>
    <n v="18"/>
  </r>
  <r>
    <x v="1016"/>
    <x v="1016"/>
    <x v="6"/>
    <x v="2"/>
    <d v="2023-03-29T00:00:00"/>
    <x v="0"/>
    <n v="3398"/>
    <n v="6329"/>
    <n v="3.15"/>
    <n v="58"/>
  </r>
  <r>
    <x v="1017"/>
    <x v="1017"/>
    <x v="5"/>
    <x v="2"/>
    <d v="2022-09-23T00:00:00"/>
    <x v="0"/>
    <n v="9724"/>
    <n v="8224"/>
    <n v="3.57"/>
    <n v="38"/>
  </r>
  <r>
    <x v="1018"/>
    <x v="1018"/>
    <x v="1"/>
    <x v="3"/>
    <d v="2022-12-21T00:00:00"/>
    <x v="0"/>
    <n v="13375"/>
    <n v="7202"/>
    <n v="3.07"/>
    <n v="11"/>
  </r>
  <r>
    <x v="1019"/>
    <x v="1019"/>
    <x v="6"/>
    <x v="3"/>
    <d v="2024-04-08T00:00:00"/>
    <x v="1"/>
    <n v="2052"/>
    <n v="5540"/>
    <n v="2.76"/>
    <n v="117"/>
  </r>
  <r>
    <x v="1020"/>
    <x v="1020"/>
    <x v="7"/>
    <x v="1"/>
    <d v="2022-10-11T00:00:00"/>
    <x v="0"/>
    <n v="9348"/>
    <n v="3252"/>
    <n v="3.92"/>
    <n v="20"/>
  </r>
  <r>
    <x v="1021"/>
    <x v="1021"/>
    <x v="5"/>
    <x v="1"/>
    <d v="2023-01-18T00:00:00"/>
    <x v="0"/>
    <n v="3683"/>
    <n v="5286"/>
    <n v="3.04"/>
    <n v="61"/>
  </r>
  <r>
    <x v="1022"/>
    <x v="1022"/>
    <x v="0"/>
    <x v="3"/>
    <d v="2022-04-28T00:00:00"/>
    <x v="0"/>
    <n v="6294"/>
    <n v="3422"/>
    <n v="2.84"/>
    <n v="107"/>
  </r>
  <r>
    <x v="1023"/>
    <x v="1023"/>
    <x v="7"/>
    <x v="3"/>
    <d v="2022-09-07T00:00:00"/>
    <x v="1"/>
    <n v="6651"/>
    <n v="7082"/>
    <n v="2.4300000000000002"/>
    <n v="85"/>
  </r>
  <r>
    <x v="1024"/>
    <x v="1024"/>
    <x v="0"/>
    <x v="0"/>
    <d v="2024-05-10T00:00:00"/>
    <x v="1"/>
    <n v="14550"/>
    <n v="9171"/>
    <n v="3.25"/>
    <n v="78"/>
  </r>
  <r>
    <x v="1025"/>
    <x v="1025"/>
    <x v="4"/>
    <x v="2"/>
    <d v="2023-11-14T00:00:00"/>
    <x v="1"/>
    <n v="4049"/>
    <n v="3524"/>
    <n v="2.23"/>
    <n v="29"/>
  </r>
  <r>
    <x v="1026"/>
    <x v="1026"/>
    <x v="6"/>
    <x v="0"/>
    <d v="2023-01-30T00:00:00"/>
    <x v="1"/>
    <n v="2397"/>
    <n v="7989"/>
    <n v="2.91"/>
    <n v="117"/>
  </r>
  <r>
    <x v="1027"/>
    <x v="1027"/>
    <x v="7"/>
    <x v="1"/>
    <d v="2022-05-10T00:00:00"/>
    <x v="1"/>
    <n v="2645"/>
    <n v="2926"/>
    <n v="3.57"/>
    <n v="54"/>
  </r>
  <r>
    <x v="1028"/>
    <x v="1028"/>
    <x v="4"/>
    <x v="3"/>
    <d v="2022-10-30T00:00:00"/>
    <x v="0"/>
    <n v="4105"/>
    <n v="9705"/>
    <n v="2.3199999999999998"/>
    <n v="22"/>
  </r>
  <r>
    <x v="1029"/>
    <x v="1029"/>
    <x v="0"/>
    <x v="2"/>
    <d v="2022-02-11T00:00:00"/>
    <x v="0"/>
    <n v="7185"/>
    <n v="3129"/>
    <n v="2.87"/>
    <n v="24"/>
  </r>
  <r>
    <x v="1030"/>
    <x v="1030"/>
    <x v="6"/>
    <x v="1"/>
    <d v="2024-01-09T00:00:00"/>
    <x v="0"/>
    <n v="6263"/>
    <n v="1642"/>
    <n v="3.17"/>
    <n v="49"/>
  </r>
  <r>
    <x v="1031"/>
    <x v="1031"/>
    <x v="5"/>
    <x v="0"/>
    <d v="2023-07-23T00:00:00"/>
    <x v="0"/>
    <n v="7201"/>
    <n v="943"/>
    <n v="3.49"/>
    <n v="19"/>
  </r>
  <r>
    <x v="1032"/>
    <x v="1032"/>
    <x v="0"/>
    <x v="3"/>
    <d v="2024-04-18T00:00:00"/>
    <x v="2"/>
    <n v="6043"/>
    <n v="6673"/>
    <n v="2.94"/>
    <n v="81"/>
  </r>
  <r>
    <x v="1033"/>
    <x v="1033"/>
    <x v="6"/>
    <x v="2"/>
    <d v="2024-02-04T00:00:00"/>
    <x v="0"/>
    <n v="4290"/>
    <n v="8037"/>
    <n v="3.2"/>
    <n v="100"/>
  </r>
  <r>
    <x v="1034"/>
    <x v="1034"/>
    <x v="0"/>
    <x v="1"/>
    <d v="2023-10-21T00:00:00"/>
    <x v="0"/>
    <n v="13750"/>
    <n v="3160"/>
    <n v="2.5299999999999998"/>
    <n v="20"/>
  </r>
  <r>
    <x v="1035"/>
    <x v="1035"/>
    <x v="6"/>
    <x v="1"/>
    <d v="2023-01-07T00:00:00"/>
    <x v="0"/>
    <n v="9223"/>
    <n v="934"/>
    <n v="3.49"/>
    <n v="104"/>
  </r>
  <r>
    <x v="1036"/>
    <x v="1036"/>
    <x v="5"/>
    <x v="2"/>
    <d v="2023-09-17T00:00:00"/>
    <x v="1"/>
    <n v="9699"/>
    <n v="3736"/>
    <n v="3.07"/>
    <n v="57"/>
  </r>
  <r>
    <x v="1037"/>
    <x v="1037"/>
    <x v="0"/>
    <x v="3"/>
    <d v="2022-01-18T00:00:00"/>
    <x v="0"/>
    <n v="9851"/>
    <n v="2149"/>
    <n v="3.39"/>
    <n v="78"/>
  </r>
  <r>
    <x v="1038"/>
    <x v="1038"/>
    <x v="7"/>
    <x v="1"/>
    <d v="2024-05-29T00:00:00"/>
    <x v="0"/>
    <n v="8813"/>
    <n v="795"/>
    <n v="3.25"/>
    <n v="110"/>
  </r>
  <r>
    <x v="1039"/>
    <x v="1039"/>
    <x v="3"/>
    <x v="1"/>
    <d v="2022-05-13T00:00:00"/>
    <x v="0"/>
    <n v="9828"/>
    <n v="9604"/>
    <n v="3.94"/>
    <n v="17"/>
  </r>
  <r>
    <x v="1040"/>
    <x v="1040"/>
    <x v="3"/>
    <x v="3"/>
    <d v="2022-01-21T00:00:00"/>
    <x v="0"/>
    <n v="14430"/>
    <n v="4963"/>
    <n v="2.41"/>
    <n v="73"/>
  </r>
  <r>
    <x v="1041"/>
    <x v="1041"/>
    <x v="1"/>
    <x v="3"/>
    <d v="2023-03-31T00:00:00"/>
    <x v="0"/>
    <n v="14409"/>
    <n v="5793"/>
    <n v="2.61"/>
    <n v="31"/>
  </r>
  <r>
    <x v="1042"/>
    <x v="1042"/>
    <x v="5"/>
    <x v="2"/>
    <d v="2022-09-12T00:00:00"/>
    <x v="0"/>
    <n v="3726"/>
    <n v="586"/>
    <n v="2.2200000000000002"/>
    <n v="6"/>
  </r>
  <r>
    <x v="1043"/>
    <x v="1043"/>
    <x v="4"/>
    <x v="1"/>
    <d v="2023-10-28T00:00:00"/>
    <x v="1"/>
    <n v="12371"/>
    <n v="3982"/>
    <n v="3.58"/>
    <n v="52"/>
  </r>
  <r>
    <x v="1044"/>
    <x v="1044"/>
    <x v="3"/>
    <x v="2"/>
    <d v="2023-06-27T00:00:00"/>
    <x v="1"/>
    <n v="3344"/>
    <n v="5902"/>
    <n v="3.46"/>
    <n v="75"/>
  </r>
  <r>
    <x v="1045"/>
    <x v="1045"/>
    <x v="5"/>
    <x v="0"/>
    <d v="2023-03-19T00:00:00"/>
    <x v="0"/>
    <n v="10360"/>
    <n v="6049"/>
    <n v="2.79"/>
    <n v="42"/>
  </r>
  <r>
    <x v="1046"/>
    <x v="1046"/>
    <x v="6"/>
    <x v="0"/>
    <d v="2022-07-22T00:00:00"/>
    <x v="0"/>
    <n v="9592"/>
    <n v="5292"/>
    <n v="3.61"/>
    <n v="59"/>
  </r>
  <r>
    <x v="1047"/>
    <x v="1047"/>
    <x v="5"/>
    <x v="0"/>
    <d v="2022-06-30T00:00:00"/>
    <x v="0"/>
    <n v="9512"/>
    <n v="2317"/>
    <n v="2.98"/>
    <n v="56"/>
  </r>
  <r>
    <x v="1048"/>
    <x v="1048"/>
    <x v="7"/>
    <x v="1"/>
    <d v="2022-07-23T00:00:00"/>
    <x v="1"/>
    <n v="5373"/>
    <n v="8186"/>
    <n v="2.29"/>
    <n v="22"/>
  </r>
  <r>
    <x v="1049"/>
    <x v="1049"/>
    <x v="2"/>
    <x v="1"/>
    <d v="2022-09-10T00:00:00"/>
    <x v="1"/>
    <n v="5354"/>
    <n v="2730"/>
    <n v="2.44"/>
    <n v="94"/>
  </r>
  <r>
    <x v="1050"/>
    <x v="1050"/>
    <x v="5"/>
    <x v="3"/>
    <d v="2022-10-05T00:00:00"/>
    <x v="1"/>
    <n v="2479"/>
    <n v="1588"/>
    <n v="3.71"/>
    <n v="100"/>
  </r>
  <r>
    <x v="1051"/>
    <x v="1051"/>
    <x v="0"/>
    <x v="3"/>
    <d v="2023-03-22T00:00:00"/>
    <x v="2"/>
    <n v="6810"/>
    <n v="405"/>
    <n v="2.94"/>
    <n v="46"/>
  </r>
  <r>
    <x v="1052"/>
    <x v="1052"/>
    <x v="0"/>
    <x v="1"/>
    <d v="2022-06-06T00:00:00"/>
    <x v="0"/>
    <n v="7686"/>
    <n v="9818"/>
    <n v="2.69"/>
    <n v="4"/>
  </r>
  <r>
    <x v="1053"/>
    <x v="1053"/>
    <x v="6"/>
    <x v="0"/>
    <d v="2022-11-23T00:00:00"/>
    <x v="0"/>
    <n v="7121"/>
    <n v="7090"/>
    <n v="3.87"/>
    <n v="28"/>
  </r>
  <r>
    <x v="1054"/>
    <x v="1054"/>
    <x v="1"/>
    <x v="2"/>
    <d v="2024-06-07T00:00:00"/>
    <x v="1"/>
    <n v="3813"/>
    <n v="1221"/>
    <n v="2.78"/>
    <n v="55"/>
  </r>
  <r>
    <x v="1055"/>
    <x v="1055"/>
    <x v="7"/>
    <x v="3"/>
    <d v="2024-04-28T00:00:00"/>
    <x v="1"/>
    <n v="5115"/>
    <n v="6700"/>
    <n v="3.09"/>
    <n v="35"/>
  </r>
  <r>
    <x v="1056"/>
    <x v="1056"/>
    <x v="5"/>
    <x v="1"/>
    <d v="2023-02-06T00:00:00"/>
    <x v="0"/>
    <n v="8897"/>
    <n v="2452"/>
    <n v="3.51"/>
    <n v="90"/>
  </r>
  <r>
    <x v="1057"/>
    <x v="1057"/>
    <x v="4"/>
    <x v="2"/>
    <d v="2024-04-26T00:00:00"/>
    <x v="0"/>
    <n v="10286"/>
    <n v="8637"/>
    <n v="2.17"/>
    <n v="76"/>
  </r>
  <r>
    <x v="1058"/>
    <x v="1058"/>
    <x v="2"/>
    <x v="2"/>
    <d v="2024-03-30T00:00:00"/>
    <x v="1"/>
    <n v="6792"/>
    <n v="999"/>
    <n v="2.19"/>
    <n v="6"/>
  </r>
  <r>
    <x v="1059"/>
    <x v="1059"/>
    <x v="3"/>
    <x v="3"/>
    <d v="2023-02-25T00:00:00"/>
    <x v="0"/>
    <n v="9636"/>
    <n v="8999"/>
    <n v="2.4900000000000002"/>
    <n v="46"/>
  </r>
  <r>
    <x v="1060"/>
    <x v="1060"/>
    <x v="2"/>
    <x v="3"/>
    <d v="2022-01-03T00:00:00"/>
    <x v="0"/>
    <n v="14185"/>
    <n v="3785"/>
    <n v="3.14"/>
    <n v="84"/>
  </r>
  <r>
    <x v="1061"/>
    <x v="1061"/>
    <x v="7"/>
    <x v="3"/>
    <d v="2023-06-14T00:00:00"/>
    <x v="0"/>
    <n v="13293"/>
    <n v="9628"/>
    <n v="2.66"/>
    <n v="99"/>
  </r>
  <r>
    <x v="1062"/>
    <x v="1062"/>
    <x v="7"/>
    <x v="1"/>
    <d v="2023-07-17T00:00:00"/>
    <x v="1"/>
    <n v="7446"/>
    <n v="4781"/>
    <n v="3.43"/>
    <n v="101"/>
  </r>
  <r>
    <x v="1063"/>
    <x v="1063"/>
    <x v="4"/>
    <x v="3"/>
    <d v="2022-10-15T00:00:00"/>
    <x v="0"/>
    <n v="11119"/>
    <n v="8712"/>
    <n v="3.96"/>
    <n v="103"/>
  </r>
  <r>
    <x v="1064"/>
    <x v="1064"/>
    <x v="5"/>
    <x v="1"/>
    <d v="2022-09-02T00:00:00"/>
    <x v="0"/>
    <n v="13651"/>
    <n v="6144"/>
    <n v="3.84"/>
    <n v="76"/>
  </r>
  <r>
    <x v="1065"/>
    <x v="1065"/>
    <x v="0"/>
    <x v="3"/>
    <d v="2022-06-02T00:00:00"/>
    <x v="0"/>
    <n v="4701"/>
    <n v="5681"/>
    <n v="2.84"/>
    <n v="44"/>
  </r>
  <r>
    <x v="1066"/>
    <x v="1066"/>
    <x v="1"/>
    <x v="3"/>
    <d v="2024-04-13T00:00:00"/>
    <x v="2"/>
    <n v="9016"/>
    <n v="7292"/>
    <n v="2.7"/>
    <n v="5"/>
  </r>
  <r>
    <x v="1067"/>
    <x v="1067"/>
    <x v="6"/>
    <x v="1"/>
    <d v="2023-07-13T00:00:00"/>
    <x v="1"/>
    <n v="6208"/>
    <n v="6067"/>
    <n v="3.75"/>
    <n v="93"/>
  </r>
  <r>
    <x v="1068"/>
    <x v="1068"/>
    <x v="4"/>
    <x v="0"/>
    <d v="2023-06-13T00:00:00"/>
    <x v="1"/>
    <n v="5697"/>
    <n v="3573"/>
    <n v="3.77"/>
    <n v="79"/>
  </r>
  <r>
    <x v="1069"/>
    <x v="1069"/>
    <x v="2"/>
    <x v="2"/>
    <d v="2022-01-07T00:00:00"/>
    <x v="0"/>
    <n v="14742"/>
    <n v="445"/>
    <n v="2.5499999999999998"/>
    <n v="6"/>
  </r>
  <r>
    <x v="1070"/>
    <x v="1070"/>
    <x v="6"/>
    <x v="3"/>
    <d v="2022-06-28T00:00:00"/>
    <x v="1"/>
    <n v="2296"/>
    <n v="325"/>
    <n v="2.64"/>
    <n v="71"/>
  </r>
  <r>
    <x v="1071"/>
    <x v="1071"/>
    <x v="7"/>
    <x v="3"/>
    <d v="2023-11-01T00:00:00"/>
    <x v="0"/>
    <n v="10330"/>
    <n v="5973"/>
    <n v="2.65"/>
    <n v="50"/>
  </r>
  <r>
    <x v="1072"/>
    <x v="1072"/>
    <x v="4"/>
    <x v="0"/>
    <d v="2023-12-11T00:00:00"/>
    <x v="2"/>
    <n v="2000"/>
    <n v="8608"/>
    <n v="3.95"/>
    <n v="2"/>
  </r>
  <r>
    <x v="1073"/>
    <x v="1073"/>
    <x v="7"/>
    <x v="1"/>
    <d v="2023-02-25T00:00:00"/>
    <x v="1"/>
    <n v="8970"/>
    <n v="6430"/>
    <n v="2.04"/>
    <n v="97"/>
  </r>
  <r>
    <x v="1074"/>
    <x v="1074"/>
    <x v="7"/>
    <x v="1"/>
    <d v="2023-07-19T00:00:00"/>
    <x v="1"/>
    <n v="5560"/>
    <n v="6629"/>
    <n v="2.4700000000000002"/>
    <n v="66"/>
  </r>
  <r>
    <x v="1075"/>
    <x v="1075"/>
    <x v="0"/>
    <x v="0"/>
    <d v="2023-09-27T00:00:00"/>
    <x v="0"/>
    <n v="7903"/>
    <n v="897"/>
    <n v="2.0699999999999998"/>
    <n v="110"/>
  </r>
  <r>
    <x v="1076"/>
    <x v="1076"/>
    <x v="7"/>
    <x v="2"/>
    <d v="2023-06-27T00:00:00"/>
    <x v="0"/>
    <n v="4119"/>
    <n v="8833"/>
    <n v="3.31"/>
    <n v="74"/>
  </r>
  <r>
    <x v="1077"/>
    <x v="1077"/>
    <x v="4"/>
    <x v="3"/>
    <d v="2024-03-27T00:00:00"/>
    <x v="2"/>
    <n v="7853"/>
    <n v="2032"/>
    <n v="3.33"/>
    <n v="96"/>
  </r>
  <r>
    <x v="1078"/>
    <x v="1078"/>
    <x v="0"/>
    <x v="0"/>
    <d v="2022-12-23T00:00:00"/>
    <x v="2"/>
    <n v="7107"/>
    <n v="1911"/>
    <n v="2.87"/>
    <n v="73"/>
  </r>
  <r>
    <x v="1079"/>
    <x v="1079"/>
    <x v="1"/>
    <x v="1"/>
    <d v="2024-04-03T00:00:00"/>
    <x v="0"/>
    <n v="3245"/>
    <n v="6823"/>
    <n v="2.5"/>
    <n v="16"/>
  </r>
  <r>
    <x v="1080"/>
    <x v="1080"/>
    <x v="1"/>
    <x v="0"/>
    <d v="2024-04-05T00:00:00"/>
    <x v="0"/>
    <n v="4892"/>
    <n v="7034"/>
    <n v="3.83"/>
    <n v="43"/>
  </r>
  <r>
    <x v="1081"/>
    <x v="1081"/>
    <x v="6"/>
    <x v="3"/>
    <d v="2022-10-12T00:00:00"/>
    <x v="0"/>
    <n v="5130"/>
    <n v="9628"/>
    <n v="2.56"/>
    <n v="113"/>
  </r>
  <r>
    <x v="1082"/>
    <x v="1082"/>
    <x v="3"/>
    <x v="3"/>
    <d v="2022-09-27T00:00:00"/>
    <x v="0"/>
    <n v="12773"/>
    <n v="1546"/>
    <n v="3.89"/>
    <n v="96"/>
  </r>
  <r>
    <x v="1083"/>
    <x v="1083"/>
    <x v="6"/>
    <x v="1"/>
    <d v="2022-07-16T00:00:00"/>
    <x v="1"/>
    <n v="11415"/>
    <n v="2626"/>
    <n v="3.4"/>
    <n v="5"/>
  </r>
  <r>
    <x v="1084"/>
    <x v="1084"/>
    <x v="6"/>
    <x v="3"/>
    <d v="2022-07-30T00:00:00"/>
    <x v="0"/>
    <n v="8463"/>
    <n v="6739"/>
    <n v="3.87"/>
    <n v="33"/>
  </r>
  <r>
    <x v="1085"/>
    <x v="1085"/>
    <x v="5"/>
    <x v="3"/>
    <d v="2022-02-26T00:00:00"/>
    <x v="0"/>
    <n v="13713"/>
    <n v="3304"/>
    <n v="3.81"/>
    <n v="54"/>
  </r>
  <r>
    <x v="1086"/>
    <x v="1086"/>
    <x v="4"/>
    <x v="3"/>
    <d v="2022-02-02T00:00:00"/>
    <x v="0"/>
    <n v="10725"/>
    <n v="6124"/>
    <n v="3.94"/>
    <n v="41"/>
  </r>
  <r>
    <x v="1087"/>
    <x v="1087"/>
    <x v="1"/>
    <x v="3"/>
    <d v="2023-06-28T00:00:00"/>
    <x v="2"/>
    <n v="11630"/>
    <n v="7578"/>
    <n v="3.65"/>
    <n v="111"/>
  </r>
  <r>
    <x v="1088"/>
    <x v="1088"/>
    <x v="6"/>
    <x v="2"/>
    <d v="2024-05-01T00:00:00"/>
    <x v="0"/>
    <n v="12478"/>
    <n v="8335"/>
    <n v="3.01"/>
    <n v="22"/>
  </r>
  <r>
    <x v="1089"/>
    <x v="1089"/>
    <x v="2"/>
    <x v="3"/>
    <d v="2022-06-13T00:00:00"/>
    <x v="2"/>
    <n v="8685"/>
    <n v="2204"/>
    <n v="2.29"/>
    <n v="1"/>
  </r>
  <r>
    <x v="1090"/>
    <x v="1090"/>
    <x v="5"/>
    <x v="3"/>
    <d v="2023-02-26T00:00:00"/>
    <x v="0"/>
    <n v="6591"/>
    <n v="8495"/>
    <n v="2.29"/>
    <n v="46"/>
  </r>
  <r>
    <x v="1091"/>
    <x v="1091"/>
    <x v="5"/>
    <x v="3"/>
    <d v="2023-02-26T00:00:00"/>
    <x v="0"/>
    <n v="8141"/>
    <n v="7905"/>
    <n v="2.77"/>
    <n v="46"/>
  </r>
  <r>
    <x v="1092"/>
    <x v="1092"/>
    <x v="1"/>
    <x v="2"/>
    <d v="2022-03-15T00:00:00"/>
    <x v="0"/>
    <n v="3019"/>
    <n v="6321"/>
    <n v="2.82"/>
    <n v="79"/>
  </r>
  <r>
    <x v="1093"/>
    <x v="1093"/>
    <x v="7"/>
    <x v="2"/>
    <d v="2023-12-23T00:00:00"/>
    <x v="1"/>
    <n v="8929"/>
    <n v="7083"/>
    <n v="2.68"/>
    <n v="104"/>
  </r>
  <r>
    <x v="1094"/>
    <x v="1094"/>
    <x v="7"/>
    <x v="3"/>
    <d v="2022-01-15T00:00:00"/>
    <x v="0"/>
    <n v="11878"/>
    <n v="4182"/>
    <n v="3.52"/>
    <n v="96"/>
  </r>
  <r>
    <x v="1095"/>
    <x v="1095"/>
    <x v="5"/>
    <x v="0"/>
    <d v="2023-11-29T00:00:00"/>
    <x v="1"/>
    <n v="11961"/>
    <n v="8528"/>
    <n v="3.72"/>
    <n v="16"/>
  </r>
  <r>
    <x v="1096"/>
    <x v="1096"/>
    <x v="0"/>
    <x v="0"/>
    <d v="2022-06-09T00:00:00"/>
    <x v="1"/>
    <n v="14062"/>
    <n v="9193"/>
    <n v="3.07"/>
    <n v="103"/>
  </r>
  <r>
    <x v="1097"/>
    <x v="1097"/>
    <x v="7"/>
    <x v="2"/>
    <d v="2022-08-07T00:00:00"/>
    <x v="1"/>
    <n v="7312"/>
    <n v="8464"/>
    <n v="2.74"/>
    <n v="104"/>
  </r>
  <r>
    <x v="1098"/>
    <x v="1098"/>
    <x v="7"/>
    <x v="2"/>
    <d v="2023-04-07T00:00:00"/>
    <x v="0"/>
    <n v="5745"/>
    <n v="499"/>
    <n v="3.1"/>
    <n v="31"/>
  </r>
  <r>
    <x v="1099"/>
    <x v="1099"/>
    <x v="1"/>
    <x v="3"/>
    <d v="2022-06-14T00:00:00"/>
    <x v="2"/>
    <n v="6844"/>
    <n v="1405"/>
    <n v="3.05"/>
    <n v="44"/>
  </r>
  <r>
    <x v="1100"/>
    <x v="1100"/>
    <x v="7"/>
    <x v="1"/>
    <d v="2022-07-11T00:00:00"/>
    <x v="0"/>
    <n v="13054"/>
    <n v="4741"/>
    <n v="3.54"/>
    <n v="31"/>
  </r>
  <r>
    <x v="1101"/>
    <x v="1101"/>
    <x v="5"/>
    <x v="2"/>
    <d v="2023-03-22T00:00:00"/>
    <x v="0"/>
    <n v="10986"/>
    <n v="8048"/>
    <n v="3.16"/>
    <n v="70"/>
  </r>
  <r>
    <x v="1102"/>
    <x v="1102"/>
    <x v="1"/>
    <x v="1"/>
    <d v="2024-05-09T00:00:00"/>
    <x v="2"/>
    <n v="3798"/>
    <n v="1392"/>
    <n v="2.2999999999999998"/>
    <n v="98"/>
  </r>
  <r>
    <x v="1103"/>
    <x v="1103"/>
    <x v="6"/>
    <x v="0"/>
    <d v="2024-02-10T00:00:00"/>
    <x v="1"/>
    <n v="8999"/>
    <n v="7122"/>
    <n v="2.0499999999999998"/>
    <n v="115"/>
  </r>
  <r>
    <x v="1104"/>
    <x v="1104"/>
    <x v="0"/>
    <x v="3"/>
    <d v="2022-03-29T00:00:00"/>
    <x v="0"/>
    <n v="4243"/>
    <n v="6445"/>
    <n v="3.32"/>
    <n v="18"/>
  </r>
  <r>
    <x v="1105"/>
    <x v="1105"/>
    <x v="0"/>
    <x v="0"/>
    <d v="2023-05-25T00:00:00"/>
    <x v="1"/>
    <n v="2171"/>
    <n v="2358"/>
    <n v="2.4500000000000002"/>
    <n v="31"/>
  </r>
  <r>
    <x v="1106"/>
    <x v="1106"/>
    <x v="3"/>
    <x v="3"/>
    <d v="2022-10-05T00:00:00"/>
    <x v="1"/>
    <n v="4746"/>
    <n v="1220"/>
    <n v="3.26"/>
    <n v="10"/>
  </r>
  <r>
    <x v="1107"/>
    <x v="1107"/>
    <x v="1"/>
    <x v="1"/>
    <d v="2024-02-07T00:00:00"/>
    <x v="0"/>
    <n v="5813"/>
    <n v="8271"/>
    <n v="3.89"/>
    <n v="13"/>
  </r>
  <r>
    <x v="1108"/>
    <x v="1108"/>
    <x v="5"/>
    <x v="0"/>
    <d v="2022-02-07T00:00:00"/>
    <x v="0"/>
    <n v="11997"/>
    <n v="3979"/>
    <n v="3.75"/>
    <n v="81"/>
  </r>
  <r>
    <x v="1109"/>
    <x v="1109"/>
    <x v="5"/>
    <x v="2"/>
    <d v="2022-11-26T00:00:00"/>
    <x v="1"/>
    <n v="3129"/>
    <n v="3377"/>
    <n v="2.92"/>
    <n v="94"/>
  </r>
  <r>
    <x v="1110"/>
    <x v="1110"/>
    <x v="2"/>
    <x v="3"/>
    <d v="2023-12-18T00:00:00"/>
    <x v="0"/>
    <n v="4829"/>
    <n v="2463"/>
    <n v="3.81"/>
    <n v="71"/>
  </r>
  <r>
    <x v="1111"/>
    <x v="1111"/>
    <x v="1"/>
    <x v="2"/>
    <d v="2023-12-10T00:00:00"/>
    <x v="0"/>
    <n v="13773"/>
    <n v="9595"/>
    <n v="2.15"/>
    <n v="22"/>
  </r>
  <r>
    <x v="1112"/>
    <x v="1112"/>
    <x v="7"/>
    <x v="1"/>
    <d v="2022-11-14T00:00:00"/>
    <x v="1"/>
    <n v="7845"/>
    <n v="1768"/>
    <n v="3.79"/>
    <n v="82"/>
  </r>
  <r>
    <x v="1113"/>
    <x v="1113"/>
    <x v="4"/>
    <x v="2"/>
    <d v="2024-02-15T00:00:00"/>
    <x v="1"/>
    <n v="14112"/>
    <n v="4858"/>
    <n v="2.48"/>
    <n v="106"/>
  </r>
  <r>
    <x v="1114"/>
    <x v="1114"/>
    <x v="1"/>
    <x v="2"/>
    <d v="2024-05-17T00:00:00"/>
    <x v="0"/>
    <n v="8386"/>
    <n v="6949"/>
    <n v="2.54"/>
    <n v="97"/>
  </r>
  <r>
    <x v="1115"/>
    <x v="1115"/>
    <x v="6"/>
    <x v="1"/>
    <d v="2023-07-29T00:00:00"/>
    <x v="0"/>
    <n v="11924"/>
    <n v="8400"/>
    <n v="3.46"/>
    <n v="23"/>
  </r>
  <r>
    <x v="1116"/>
    <x v="1116"/>
    <x v="4"/>
    <x v="2"/>
    <d v="2022-03-27T00:00:00"/>
    <x v="1"/>
    <n v="6259"/>
    <n v="6330"/>
    <n v="3.7"/>
    <n v="69"/>
  </r>
  <r>
    <x v="1117"/>
    <x v="1117"/>
    <x v="2"/>
    <x v="2"/>
    <d v="2024-02-25T00:00:00"/>
    <x v="0"/>
    <n v="2965"/>
    <n v="4420"/>
    <n v="3.5"/>
    <n v="79"/>
  </r>
  <r>
    <x v="1118"/>
    <x v="1118"/>
    <x v="0"/>
    <x v="0"/>
    <d v="2024-02-25T00:00:00"/>
    <x v="0"/>
    <n v="10945"/>
    <n v="3789"/>
    <n v="3.56"/>
    <n v="39"/>
  </r>
  <r>
    <x v="1119"/>
    <x v="1119"/>
    <x v="6"/>
    <x v="3"/>
    <d v="2024-04-24T00:00:00"/>
    <x v="1"/>
    <n v="5840"/>
    <n v="9839"/>
    <n v="3.91"/>
    <n v="21"/>
  </r>
  <r>
    <x v="1120"/>
    <x v="1120"/>
    <x v="4"/>
    <x v="3"/>
    <d v="2023-12-28T00:00:00"/>
    <x v="1"/>
    <n v="11837"/>
    <n v="4235"/>
    <n v="3.73"/>
    <n v="67"/>
  </r>
  <r>
    <x v="1121"/>
    <x v="1121"/>
    <x v="7"/>
    <x v="2"/>
    <d v="2023-11-15T00:00:00"/>
    <x v="1"/>
    <n v="2593"/>
    <n v="3001"/>
    <n v="2.4"/>
    <n v="25"/>
  </r>
  <r>
    <x v="1122"/>
    <x v="1122"/>
    <x v="1"/>
    <x v="3"/>
    <d v="2023-10-23T00:00:00"/>
    <x v="0"/>
    <n v="4320"/>
    <n v="5243"/>
    <n v="4"/>
    <n v="67"/>
  </r>
  <r>
    <x v="1123"/>
    <x v="1123"/>
    <x v="1"/>
    <x v="0"/>
    <d v="2022-08-06T00:00:00"/>
    <x v="1"/>
    <n v="5074"/>
    <n v="3228"/>
    <n v="3.89"/>
    <n v="10"/>
  </r>
  <r>
    <x v="1124"/>
    <x v="1124"/>
    <x v="1"/>
    <x v="3"/>
    <d v="2023-07-31T00:00:00"/>
    <x v="0"/>
    <n v="10173"/>
    <n v="2208"/>
    <n v="2.9"/>
    <n v="3"/>
  </r>
  <r>
    <x v="1125"/>
    <x v="1125"/>
    <x v="4"/>
    <x v="0"/>
    <d v="2022-05-03T00:00:00"/>
    <x v="1"/>
    <n v="12039"/>
    <n v="2849"/>
    <n v="2.93"/>
    <n v="4"/>
  </r>
  <r>
    <x v="1126"/>
    <x v="1126"/>
    <x v="7"/>
    <x v="2"/>
    <d v="2023-09-03T00:00:00"/>
    <x v="0"/>
    <n v="9593"/>
    <n v="3437"/>
    <n v="3.75"/>
    <n v="117"/>
  </r>
  <r>
    <x v="1127"/>
    <x v="1127"/>
    <x v="7"/>
    <x v="2"/>
    <d v="2022-09-12T00:00:00"/>
    <x v="0"/>
    <n v="12305"/>
    <n v="4221"/>
    <n v="3.38"/>
    <n v="40"/>
  </r>
  <r>
    <x v="1128"/>
    <x v="1128"/>
    <x v="1"/>
    <x v="3"/>
    <d v="2023-09-27T00:00:00"/>
    <x v="0"/>
    <n v="10591"/>
    <n v="8903"/>
    <n v="3.69"/>
    <n v="106"/>
  </r>
  <r>
    <x v="1129"/>
    <x v="1129"/>
    <x v="5"/>
    <x v="3"/>
    <d v="2023-09-30T00:00:00"/>
    <x v="0"/>
    <n v="7321"/>
    <n v="2534"/>
    <n v="3.52"/>
    <n v="33"/>
  </r>
  <r>
    <x v="1130"/>
    <x v="1130"/>
    <x v="1"/>
    <x v="2"/>
    <d v="2023-11-04T00:00:00"/>
    <x v="0"/>
    <n v="7742"/>
    <n v="3650"/>
    <n v="3.42"/>
    <n v="60"/>
  </r>
  <r>
    <x v="1131"/>
    <x v="1131"/>
    <x v="3"/>
    <x v="2"/>
    <d v="2024-03-20T00:00:00"/>
    <x v="0"/>
    <n v="11854"/>
    <n v="1254"/>
    <n v="3.76"/>
    <n v="1"/>
  </r>
  <r>
    <x v="1132"/>
    <x v="1132"/>
    <x v="3"/>
    <x v="3"/>
    <d v="2023-02-25T00:00:00"/>
    <x v="2"/>
    <n v="3324"/>
    <n v="6168"/>
    <n v="3.97"/>
    <n v="54"/>
  </r>
  <r>
    <x v="1133"/>
    <x v="1133"/>
    <x v="1"/>
    <x v="3"/>
    <d v="2024-03-30T00:00:00"/>
    <x v="0"/>
    <n v="6655"/>
    <n v="8989"/>
    <n v="3.86"/>
    <n v="82"/>
  </r>
  <r>
    <x v="1134"/>
    <x v="1134"/>
    <x v="5"/>
    <x v="0"/>
    <d v="2022-01-10T00:00:00"/>
    <x v="0"/>
    <n v="6724"/>
    <n v="1796"/>
    <n v="3.56"/>
    <n v="9"/>
  </r>
  <r>
    <x v="1135"/>
    <x v="1135"/>
    <x v="7"/>
    <x v="3"/>
    <d v="2024-02-01T00:00:00"/>
    <x v="1"/>
    <n v="7277"/>
    <n v="7758"/>
    <n v="3.04"/>
    <n v="0"/>
  </r>
  <r>
    <x v="1136"/>
    <x v="1136"/>
    <x v="3"/>
    <x v="2"/>
    <d v="2022-03-17T00:00:00"/>
    <x v="0"/>
    <n v="10295"/>
    <n v="4718"/>
    <n v="2.93"/>
    <n v="80"/>
  </r>
  <r>
    <x v="1137"/>
    <x v="1137"/>
    <x v="2"/>
    <x v="2"/>
    <d v="2022-02-08T00:00:00"/>
    <x v="0"/>
    <n v="14993"/>
    <n v="3599"/>
    <n v="2.61"/>
    <n v="47"/>
  </r>
  <r>
    <x v="1138"/>
    <x v="1138"/>
    <x v="1"/>
    <x v="3"/>
    <d v="2023-12-24T00:00:00"/>
    <x v="0"/>
    <n v="4493"/>
    <n v="7576"/>
    <n v="2.69"/>
    <n v="99"/>
  </r>
  <r>
    <x v="1139"/>
    <x v="1139"/>
    <x v="0"/>
    <x v="2"/>
    <d v="2023-03-25T00:00:00"/>
    <x v="0"/>
    <n v="6908"/>
    <n v="4097"/>
    <n v="3.41"/>
    <n v="65"/>
  </r>
  <r>
    <x v="1140"/>
    <x v="1140"/>
    <x v="7"/>
    <x v="2"/>
    <d v="2022-06-15T00:00:00"/>
    <x v="0"/>
    <n v="13292"/>
    <n v="1593"/>
    <n v="3.54"/>
    <n v="72"/>
  </r>
  <r>
    <x v="1141"/>
    <x v="1141"/>
    <x v="6"/>
    <x v="2"/>
    <d v="2024-03-12T00:00:00"/>
    <x v="0"/>
    <n v="14486"/>
    <n v="3971"/>
    <n v="3.31"/>
    <n v="97"/>
  </r>
  <r>
    <x v="1142"/>
    <x v="1142"/>
    <x v="3"/>
    <x v="1"/>
    <d v="2024-05-29T00:00:00"/>
    <x v="1"/>
    <n v="9401"/>
    <n v="6397"/>
    <n v="3.79"/>
    <n v="99"/>
  </r>
  <r>
    <x v="1143"/>
    <x v="1143"/>
    <x v="3"/>
    <x v="0"/>
    <d v="2024-02-13T00:00:00"/>
    <x v="0"/>
    <n v="9412"/>
    <n v="8356"/>
    <n v="2.4900000000000002"/>
    <n v="57"/>
  </r>
  <r>
    <x v="1144"/>
    <x v="1144"/>
    <x v="6"/>
    <x v="0"/>
    <d v="2023-12-11T00:00:00"/>
    <x v="0"/>
    <n v="4940"/>
    <n v="3090"/>
    <n v="3.66"/>
    <n v="59"/>
  </r>
  <r>
    <x v="1145"/>
    <x v="1145"/>
    <x v="1"/>
    <x v="3"/>
    <d v="2024-05-04T00:00:00"/>
    <x v="1"/>
    <n v="2258"/>
    <n v="2167"/>
    <n v="3.71"/>
    <n v="37"/>
  </r>
  <r>
    <x v="1146"/>
    <x v="1146"/>
    <x v="6"/>
    <x v="3"/>
    <d v="2023-06-28T00:00:00"/>
    <x v="0"/>
    <n v="12187"/>
    <n v="6773"/>
    <n v="3.49"/>
    <n v="74"/>
  </r>
  <r>
    <x v="1147"/>
    <x v="1147"/>
    <x v="7"/>
    <x v="2"/>
    <d v="2022-10-21T00:00:00"/>
    <x v="0"/>
    <n v="11200"/>
    <n v="302"/>
    <n v="2.75"/>
    <n v="13"/>
  </r>
  <r>
    <x v="1148"/>
    <x v="1148"/>
    <x v="3"/>
    <x v="1"/>
    <d v="2022-12-14T00:00:00"/>
    <x v="0"/>
    <n v="3576"/>
    <n v="1605"/>
    <n v="2.0699999999999998"/>
    <n v="18"/>
  </r>
  <r>
    <x v="1149"/>
    <x v="1149"/>
    <x v="2"/>
    <x v="2"/>
    <d v="2023-11-20T00:00:00"/>
    <x v="0"/>
    <n v="6142"/>
    <n v="1679"/>
    <n v="2.72"/>
    <n v="82"/>
  </r>
  <r>
    <x v="1150"/>
    <x v="1150"/>
    <x v="4"/>
    <x v="1"/>
    <d v="2023-05-08T00:00:00"/>
    <x v="0"/>
    <n v="11980"/>
    <n v="6646"/>
    <n v="2.04"/>
    <n v="84"/>
  </r>
  <r>
    <x v="1151"/>
    <x v="1151"/>
    <x v="3"/>
    <x v="1"/>
    <d v="2024-06-18T00:00:00"/>
    <x v="0"/>
    <n v="7486"/>
    <n v="7006"/>
    <n v="2.86"/>
    <n v="104"/>
  </r>
  <r>
    <x v="1152"/>
    <x v="1152"/>
    <x v="6"/>
    <x v="0"/>
    <d v="2023-11-03T00:00:00"/>
    <x v="0"/>
    <n v="5997"/>
    <n v="6311"/>
    <n v="2.66"/>
    <n v="49"/>
  </r>
  <r>
    <x v="1153"/>
    <x v="1153"/>
    <x v="6"/>
    <x v="2"/>
    <d v="2022-02-17T00:00:00"/>
    <x v="1"/>
    <n v="10841"/>
    <n v="3690"/>
    <n v="2.39"/>
    <n v="68"/>
  </r>
  <r>
    <x v="1154"/>
    <x v="1154"/>
    <x v="3"/>
    <x v="3"/>
    <d v="2023-09-07T00:00:00"/>
    <x v="0"/>
    <n v="3841"/>
    <n v="4198"/>
    <n v="2.38"/>
    <n v="53"/>
  </r>
  <r>
    <x v="1155"/>
    <x v="1155"/>
    <x v="0"/>
    <x v="3"/>
    <d v="2024-06-12T00:00:00"/>
    <x v="0"/>
    <n v="13164"/>
    <n v="4550"/>
    <n v="3.08"/>
    <n v="62"/>
  </r>
  <r>
    <x v="1156"/>
    <x v="1156"/>
    <x v="2"/>
    <x v="0"/>
    <d v="2023-02-26T00:00:00"/>
    <x v="2"/>
    <n v="5796"/>
    <n v="9267"/>
    <n v="3.81"/>
    <n v="68"/>
  </r>
  <r>
    <x v="1157"/>
    <x v="1157"/>
    <x v="2"/>
    <x v="2"/>
    <d v="2022-06-22T00:00:00"/>
    <x v="0"/>
    <n v="9635"/>
    <n v="3090"/>
    <n v="2.99"/>
    <n v="33"/>
  </r>
  <r>
    <x v="1158"/>
    <x v="1158"/>
    <x v="1"/>
    <x v="0"/>
    <d v="2024-02-21T00:00:00"/>
    <x v="0"/>
    <n v="2086"/>
    <n v="9790"/>
    <n v="2.17"/>
    <n v="27"/>
  </r>
  <r>
    <x v="1159"/>
    <x v="1159"/>
    <x v="2"/>
    <x v="2"/>
    <d v="2022-11-01T00:00:00"/>
    <x v="0"/>
    <n v="8164"/>
    <n v="1674"/>
    <n v="3.24"/>
    <n v="114"/>
  </r>
  <r>
    <x v="1160"/>
    <x v="1160"/>
    <x v="4"/>
    <x v="1"/>
    <d v="2024-06-03T00:00:00"/>
    <x v="1"/>
    <n v="8694"/>
    <n v="4198"/>
    <n v="3.36"/>
    <n v="28"/>
  </r>
  <r>
    <x v="1161"/>
    <x v="1161"/>
    <x v="1"/>
    <x v="0"/>
    <d v="2023-07-01T00:00:00"/>
    <x v="2"/>
    <n v="2766"/>
    <n v="3689"/>
    <n v="2.29"/>
    <n v="38"/>
  </r>
  <r>
    <x v="1162"/>
    <x v="1162"/>
    <x v="7"/>
    <x v="1"/>
    <d v="2022-09-13T00:00:00"/>
    <x v="0"/>
    <n v="8228"/>
    <n v="2328"/>
    <n v="2.2000000000000002"/>
    <n v="113"/>
  </r>
  <r>
    <x v="1163"/>
    <x v="1163"/>
    <x v="1"/>
    <x v="2"/>
    <d v="2023-01-20T00:00:00"/>
    <x v="0"/>
    <n v="6310"/>
    <n v="6133"/>
    <n v="3.37"/>
    <n v="82"/>
  </r>
  <r>
    <x v="1164"/>
    <x v="1164"/>
    <x v="2"/>
    <x v="0"/>
    <d v="2022-06-18T00:00:00"/>
    <x v="1"/>
    <n v="7845"/>
    <n v="8796"/>
    <n v="3.54"/>
    <n v="22"/>
  </r>
  <r>
    <x v="1165"/>
    <x v="1165"/>
    <x v="0"/>
    <x v="0"/>
    <d v="2022-08-27T00:00:00"/>
    <x v="0"/>
    <n v="9700"/>
    <n v="5277"/>
    <n v="3.74"/>
    <n v="61"/>
  </r>
  <r>
    <x v="1166"/>
    <x v="1166"/>
    <x v="5"/>
    <x v="2"/>
    <d v="2024-05-26T00:00:00"/>
    <x v="0"/>
    <n v="6402"/>
    <n v="8298"/>
    <n v="2.7"/>
    <n v="24"/>
  </r>
  <r>
    <x v="1167"/>
    <x v="1167"/>
    <x v="7"/>
    <x v="2"/>
    <d v="2023-08-05T00:00:00"/>
    <x v="0"/>
    <n v="9573"/>
    <n v="6314"/>
    <n v="3.03"/>
    <n v="20"/>
  </r>
  <r>
    <x v="1168"/>
    <x v="1168"/>
    <x v="4"/>
    <x v="0"/>
    <d v="2023-01-19T00:00:00"/>
    <x v="1"/>
    <n v="7706"/>
    <n v="6640"/>
    <n v="3.18"/>
    <n v="59"/>
  </r>
  <r>
    <x v="1169"/>
    <x v="1169"/>
    <x v="0"/>
    <x v="2"/>
    <d v="2022-07-02T00:00:00"/>
    <x v="0"/>
    <n v="12608"/>
    <n v="1280"/>
    <n v="2.16"/>
    <n v="69"/>
  </r>
  <r>
    <x v="1170"/>
    <x v="1170"/>
    <x v="3"/>
    <x v="3"/>
    <d v="2024-05-23T00:00:00"/>
    <x v="1"/>
    <n v="8446"/>
    <n v="2499"/>
    <n v="2.5099999999999998"/>
    <n v="20"/>
  </r>
  <r>
    <x v="1171"/>
    <x v="1171"/>
    <x v="4"/>
    <x v="1"/>
    <d v="2024-03-12T00:00:00"/>
    <x v="0"/>
    <n v="2545"/>
    <n v="7321"/>
    <n v="3.37"/>
    <n v="92"/>
  </r>
  <r>
    <x v="1172"/>
    <x v="1172"/>
    <x v="4"/>
    <x v="3"/>
    <d v="2022-06-11T00:00:00"/>
    <x v="0"/>
    <n v="8550"/>
    <n v="4769"/>
    <n v="3.71"/>
    <n v="96"/>
  </r>
  <r>
    <x v="1173"/>
    <x v="1173"/>
    <x v="0"/>
    <x v="1"/>
    <d v="2023-08-25T00:00:00"/>
    <x v="0"/>
    <n v="12524"/>
    <n v="7194"/>
    <n v="2.37"/>
    <n v="83"/>
  </r>
  <r>
    <x v="1174"/>
    <x v="1174"/>
    <x v="5"/>
    <x v="2"/>
    <d v="2022-07-30T00:00:00"/>
    <x v="1"/>
    <n v="10890"/>
    <n v="155"/>
    <n v="3.4"/>
    <n v="5"/>
  </r>
  <r>
    <x v="1175"/>
    <x v="1175"/>
    <x v="6"/>
    <x v="3"/>
    <d v="2022-05-16T00:00:00"/>
    <x v="0"/>
    <n v="2192"/>
    <n v="6436"/>
    <n v="2.78"/>
    <n v="40"/>
  </r>
  <r>
    <x v="1176"/>
    <x v="1176"/>
    <x v="7"/>
    <x v="0"/>
    <d v="2024-05-17T00:00:00"/>
    <x v="0"/>
    <n v="5414"/>
    <n v="7691"/>
    <n v="2.96"/>
    <n v="85"/>
  </r>
  <r>
    <x v="1177"/>
    <x v="1177"/>
    <x v="4"/>
    <x v="0"/>
    <d v="2023-01-28T00:00:00"/>
    <x v="0"/>
    <n v="14445"/>
    <n v="8067"/>
    <n v="2.42"/>
    <n v="115"/>
  </r>
  <r>
    <x v="1178"/>
    <x v="1178"/>
    <x v="4"/>
    <x v="1"/>
    <d v="2022-09-03T00:00:00"/>
    <x v="1"/>
    <n v="6203"/>
    <n v="4414"/>
    <n v="3.19"/>
    <n v="8"/>
  </r>
  <r>
    <x v="1179"/>
    <x v="1179"/>
    <x v="7"/>
    <x v="2"/>
    <d v="2023-01-01T00:00:00"/>
    <x v="1"/>
    <n v="2102"/>
    <n v="541"/>
    <n v="2.87"/>
    <n v="65"/>
  </r>
  <r>
    <x v="1180"/>
    <x v="1180"/>
    <x v="7"/>
    <x v="2"/>
    <d v="2022-06-30T00:00:00"/>
    <x v="0"/>
    <n v="11324"/>
    <n v="3891"/>
    <n v="2.94"/>
    <n v="86"/>
  </r>
  <r>
    <x v="1181"/>
    <x v="1181"/>
    <x v="1"/>
    <x v="0"/>
    <d v="2022-06-11T00:00:00"/>
    <x v="0"/>
    <n v="5209"/>
    <n v="438"/>
    <n v="3.47"/>
    <n v="60"/>
  </r>
  <r>
    <x v="1182"/>
    <x v="1182"/>
    <x v="1"/>
    <x v="3"/>
    <d v="2023-03-06T00:00:00"/>
    <x v="0"/>
    <n v="6599"/>
    <n v="5901"/>
    <n v="2.14"/>
    <n v="108"/>
  </r>
  <r>
    <x v="1183"/>
    <x v="1183"/>
    <x v="6"/>
    <x v="0"/>
    <d v="2023-08-13T00:00:00"/>
    <x v="1"/>
    <n v="4959"/>
    <n v="7747"/>
    <n v="3.05"/>
    <n v="96"/>
  </r>
  <r>
    <x v="1184"/>
    <x v="1184"/>
    <x v="1"/>
    <x v="3"/>
    <d v="2024-05-04T00:00:00"/>
    <x v="0"/>
    <n v="8084"/>
    <n v="6788"/>
    <n v="3.26"/>
    <n v="115"/>
  </r>
  <r>
    <x v="1185"/>
    <x v="1185"/>
    <x v="0"/>
    <x v="0"/>
    <d v="2022-03-06T00:00:00"/>
    <x v="1"/>
    <n v="4306"/>
    <n v="3004"/>
    <n v="2"/>
    <n v="60"/>
  </r>
  <r>
    <x v="1186"/>
    <x v="1186"/>
    <x v="2"/>
    <x v="2"/>
    <d v="2022-04-27T00:00:00"/>
    <x v="2"/>
    <n v="6691"/>
    <n v="7758"/>
    <n v="3.21"/>
    <n v="87"/>
  </r>
  <r>
    <x v="1187"/>
    <x v="1187"/>
    <x v="2"/>
    <x v="1"/>
    <d v="2023-01-02T00:00:00"/>
    <x v="1"/>
    <n v="7712"/>
    <n v="5785"/>
    <n v="3.48"/>
    <n v="115"/>
  </r>
  <r>
    <x v="1188"/>
    <x v="1188"/>
    <x v="4"/>
    <x v="1"/>
    <d v="2022-07-15T00:00:00"/>
    <x v="2"/>
    <n v="7597"/>
    <n v="9463"/>
    <n v="3.9"/>
    <n v="65"/>
  </r>
  <r>
    <x v="1189"/>
    <x v="1189"/>
    <x v="0"/>
    <x v="0"/>
    <d v="2023-07-26T00:00:00"/>
    <x v="1"/>
    <n v="9288"/>
    <n v="8158"/>
    <n v="3.65"/>
    <n v="55"/>
  </r>
  <r>
    <x v="1190"/>
    <x v="1190"/>
    <x v="6"/>
    <x v="3"/>
    <d v="2024-04-15T00:00:00"/>
    <x v="0"/>
    <n v="3940"/>
    <n v="4690"/>
    <n v="3.42"/>
    <n v="12"/>
  </r>
  <r>
    <x v="1191"/>
    <x v="1191"/>
    <x v="0"/>
    <x v="2"/>
    <d v="2023-01-23T00:00:00"/>
    <x v="0"/>
    <n v="10498"/>
    <n v="3841"/>
    <n v="3.76"/>
    <n v="94"/>
  </r>
  <r>
    <x v="1192"/>
    <x v="1192"/>
    <x v="2"/>
    <x v="1"/>
    <d v="2024-01-18T00:00:00"/>
    <x v="1"/>
    <n v="9664"/>
    <n v="5928"/>
    <n v="2.8"/>
    <n v="52"/>
  </r>
  <r>
    <x v="1193"/>
    <x v="1193"/>
    <x v="7"/>
    <x v="2"/>
    <d v="2023-06-12T00:00:00"/>
    <x v="1"/>
    <n v="13106"/>
    <n v="6487"/>
    <n v="2.5299999999999998"/>
    <n v="61"/>
  </r>
  <r>
    <x v="1194"/>
    <x v="1194"/>
    <x v="6"/>
    <x v="1"/>
    <d v="2023-02-11T00:00:00"/>
    <x v="1"/>
    <n v="9730"/>
    <n v="4810"/>
    <n v="3.13"/>
    <n v="73"/>
  </r>
  <r>
    <x v="1195"/>
    <x v="1195"/>
    <x v="5"/>
    <x v="1"/>
    <d v="2023-10-12T00:00:00"/>
    <x v="0"/>
    <n v="8764"/>
    <n v="6811"/>
    <n v="3.72"/>
    <n v="100"/>
  </r>
  <r>
    <x v="1196"/>
    <x v="1196"/>
    <x v="3"/>
    <x v="1"/>
    <d v="2023-11-30T00:00:00"/>
    <x v="2"/>
    <n v="11719"/>
    <n v="8671"/>
    <n v="2.4500000000000002"/>
    <n v="60"/>
  </r>
  <r>
    <x v="1197"/>
    <x v="1197"/>
    <x v="0"/>
    <x v="1"/>
    <d v="2022-09-12T00:00:00"/>
    <x v="0"/>
    <n v="14745"/>
    <n v="5188"/>
    <n v="2.2999999999999998"/>
    <n v="106"/>
  </r>
  <r>
    <x v="1198"/>
    <x v="1198"/>
    <x v="0"/>
    <x v="1"/>
    <d v="2023-09-08T00:00:00"/>
    <x v="0"/>
    <n v="9290"/>
    <n v="2010"/>
    <n v="3.08"/>
    <n v="65"/>
  </r>
  <r>
    <x v="1199"/>
    <x v="1199"/>
    <x v="3"/>
    <x v="3"/>
    <d v="2024-01-31T00:00:00"/>
    <x v="1"/>
    <n v="2623"/>
    <n v="5298"/>
    <n v="2.14"/>
    <n v="1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01828-75B3-4F88-A7EA-440DD1205E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/>
  </dataFields>
  <formats count="1">
    <format dxfId="3">
      <pivotArea collapsedLevelsAreSubtotals="1" fieldPosition="0">
        <references count="1">
          <reference field="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5D67C-A882-46D3-B258-DFAFD01742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1" firstHeaderRow="0" firstDataRow="1" firstDataCol="1"/>
  <pivotFields count="10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12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00"/>
        <item x="201"/>
        <item x="202"/>
        <item x="203"/>
        <item x="204"/>
        <item x="205"/>
        <item x="206"/>
        <item x="207"/>
        <item x="208"/>
        <item x="209"/>
        <item x="21"/>
        <item x="210"/>
        <item x="211"/>
        <item x="212"/>
        <item x="213"/>
        <item x="214"/>
        <item x="215"/>
        <item x="216"/>
        <item x="217"/>
        <item x="218"/>
        <item x="219"/>
        <item x="22"/>
        <item x="220"/>
        <item x="221"/>
        <item x="222"/>
        <item x="223"/>
        <item x="224"/>
        <item x="225"/>
        <item x="226"/>
        <item x="227"/>
        <item x="228"/>
        <item x="229"/>
        <item x="23"/>
        <item x="230"/>
        <item x="231"/>
        <item x="232"/>
        <item x="233"/>
        <item x="234"/>
        <item x="235"/>
        <item x="236"/>
        <item x="237"/>
        <item x="238"/>
        <item x="239"/>
        <item x="24"/>
        <item x="240"/>
        <item x="241"/>
        <item x="242"/>
        <item x="243"/>
        <item x="244"/>
        <item x="245"/>
        <item x="246"/>
        <item x="247"/>
        <item x="248"/>
        <item x="249"/>
        <item x="25"/>
        <item x="250"/>
        <item x="251"/>
        <item x="252"/>
        <item x="253"/>
        <item x="254"/>
        <item x="255"/>
        <item x="256"/>
        <item x="257"/>
        <item x="258"/>
        <item x="259"/>
        <item x="26"/>
        <item x="260"/>
        <item x="261"/>
        <item x="262"/>
        <item x="263"/>
        <item x="264"/>
        <item x="265"/>
        <item x="266"/>
        <item x="267"/>
        <item x="268"/>
        <item x="269"/>
        <item x="27"/>
        <item x="270"/>
        <item x="271"/>
        <item x="272"/>
        <item x="273"/>
        <item x="274"/>
        <item x="275"/>
        <item x="276"/>
        <item x="277"/>
        <item x="278"/>
        <item x="279"/>
        <item x="28"/>
        <item x="280"/>
        <item x="281"/>
        <item x="282"/>
        <item x="283"/>
        <item x="284"/>
        <item x="285"/>
        <item x="286"/>
        <item x="287"/>
        <item x="288"/>
        <item x="289"/>
        <item x="29"/>
        <item x="290"/>
        <item x="291"/>
        <item x="292"/>
        <item x="293"/>
        <item x="294"/>
        <item x="295"/>
        <item x="296"/>
        <item x="297"/>
        <item x="298"/>
        <item x="299"/>
        <item x="3"/>
        <item x="30"/>
        <item x="300"/>
        <item x="301"/>
        <item x="302"/>
        <item x="303"/>
        <item x="304"/>
        <item x="305"/>
        <item x="306"/>
        <item x="307"/>
        <item x="308"/>
        <item x="309"/>
        <item x="31"/>
        <item x="310"/>
        <item x="311"/>
        <item x="312"/>
        <item x="313"/>
        <item x="314"/>
        <item x="315"/>
        <item x="316"/>
        <item x="317"/>
        <item x="318"/>
        <item x="319"/>
        <item x="32"/>
        <item x="320"/>
        <item x="321"/>
        <item x="322"/>
        <item x="323"/>
        <item x="324"/>
        <item x="325"/>
        <item x="326"/>
        <item x="327"/>
        <item x="328"/>
        <item x="329"/>
        <item x="33"/>
        <item x="330"/>
        <item x="331"/>
        <item x="332"/>
        <item x="333"/>
        <item x="334"/>
        <item x="335"/>
        <item x="336"/>
        <item x="337"/>
        <item x="338"/>
        <item x="339"/>
        <item x="34"/>
        <item x="340"/>
        <item x="341"/>
        <item x="342"/>
        <item x="343"/>
        <item x="344"/>
        <item x="345"/>
        <item x="346"/>
        <item x="347"/>
        <item x="348"/>
        <item x="349"/>
        <item x="35"/>
        <item x="350"/>
        <item x="351"/>
        <item x="352"/>
        <item x="353"/>
        <item x="354"/>
        <item x="355"/>
        <item x="356"/>
        <item x="357"/>
        <item x="358"/>
        <item x="359"/>
        <item x="36"/>
        <item x="360"/>
        <item x="361"/>
        <item x="362"/>
        <item x="363"/>
        <item x="364"/>
        <item x="365"/>
        <item x="366"/>
        <item x="367"/>
        <item x="368"/>
        <item x="369"/>
        <item x="37"/>
        <item x="370"/>
        <item x="371"/>
        <item x="372"/>
        <item x="373"/>
        <item x="374"/>
        <item x="375"/>
        <item x="376"/>
        <item x="377"/>
        <item x="378"/>
        <item x="379"/>
        <item x="38"/>
        <item x="380"/>
        <item x="381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399"/>
        <item x="4"/>
        <item x="40"/>
        <item x="400"/>
        <item x="401"/>
        <item x="402"/>
        <item x="403"/>
        <item x="404"/>
        <item x="405"/>
        <item x="406"/>
        <item x="407"/>
        <item x="408"/>
        <item x="409"/>
        <item x="41"/>
        <item x="410"/>
        <item x="411"/>
        <item x="412"/>
        <item x="413"/>
        <item x="414"/>
        <item x="415"/>
        <item x="416"/>
        <item x="417"/>
        <item x="418"/>
        <item x="419"/>
        <item x="42"/>
        <item x="420"/>
        <item x="421"/>
        <item x="422"/>
        <item x="423"/>
        <item x="424"/>
        <item x="425"/>
        <item x="426"/>
        <item x="427"/>
        <item x="428"/>
        <item x="429"/>
        <item x="43"/>
        <item x="430"/>
        <item x="431"/>
        <item x="432"/>
        <item x="433"/>
        <item x="434"/>
        <item x="435"/>
        <item x="436"/>
        <item x="437"/>
        <item x="438"/>
        <item x="439"/>
        <item x="44"/>
        <item x="440"/>
        <item x="441"/>
        <item x="442"/>
        <item x="443"/>
        <item x="444"/>
        <item x="445"/>
        <item x="446"/>
        <item x="447"/>
        <item x="448"/>
        <item x="449"/>
        <item x="45"/>
        <item x="450"/>
        <item x="451"/>
        <item x="452"/>
        <item x="453"/>
        <item x="454"/>
        <item x="455"/>
        <item x="456"/>
        <item x="457"/>
        <item x="458"/>
        <item x="459"/>
        <item x="46"/>
        <item x="460"/>
        <item x="461"/>
        <item x="462"/>
        <item x="463"/>
        <item x="464"/>
        <item x="465"/>
        <item x="466"/>
        <item x="467"/>
        <item x="468"/>
        <item x="469"/>
        <item x="47"/>
        <item x="470"/>
        <item x="471"/>
        <item x="472"/>
        <item x="473"/>
        <item x="474"/>
        <item x="475"/>
        <item x="476"/>
        <item x="477"/>
        <item x="478"/>
        <item x="479"/>
        <item x="48"/>
        <item x="480"/>
        <item x="481"/>
        <item x="482"/>
        <item x="483"/>
        <item x="484"/>
        <item x="485"/>
        <item x="486"/>
        <item x="487"/>
        <item x="488"/>
        <item x="489"/>
        <item x="49"/>
        <item x="490"/>
        <item x="491"/>
        <item x="492"/>
        <item x="493"/>
        <item x="494"/>
        <item x="495"/>
        <item x="496"/>
        <item x="497"/>
        <item x="498"/>
        <item x="499"/>
        <item x="5"/>
        <item x="50"/>
        <item x="500"/>
        <item x="501"/>
        <item x="502"/>
        <item x="503"/>
        <item x="504"/>
        <item x="505"/>
        <item x="506"/>
        <item x="507"/>
        <item x="508"/>
        <item x="509"/>
        <item x="51"/>
        <item x="510"/>
        <item x="511"/>
        <item x="512"/>
        <item x="513"/>
        <item x="514"/>
        <item x="515"/>
        <item x="516"/>
        <item x="517"/>
        <item x="518"/>
        <item x="519"/>
        <item x="52"/>
        <item x="520"/>
        <item x="521"/>
        <item x="522"/>
        <item x="523"/>
        <item x="524"/>
        <item x="525"/>
        <item x="526"/>
        <item x="527"/>
        <item x="528"/>
        <item x="529"/>
        <item x="53"/>
        <item x="530"/>
        <item x="531"/>
        <item x="532"/>
        <item x="533"/>
        <item x="534"/>
        <item x="535"/>
        <item x="536"/>
        <item x="537"/>
        <item x="538"/>
        <item x="539"/>
        <item x="54"/>
        <item x="540"/>
        <item x="541"/>
        <item x="542"/>
        <item x="543"/>
        <item x="544"/>
        <item x="545"/>
        <item x="546"/>
        <item x="547"/>
        <item x="548"/>
        <item x="549"/>
        <item x="55"/>
        <item x="550"/>
        <item x="551"/>
        <item x="552"/>
        <item x="553"/>
        <item x="554"/>
        <item x="555"/>
        <item x="556"/>
        <item x="557"/>
        <item x="558"/>
        <item x="559"/>
        <item x="56"/>
        <item x="560"/>
        <item x="561"/>
        <item x="562"/>
        <item x="563"/>
        <item x="564"/>
        <item x="565"/>
        <item x="566"/>
        <item x="567"/>
        <item x="568"/>
        <item x="569"/>
        <item x="57"/>
        <item x="570"/>
        <item x="571"/>
        <item x="572"/>
        <item x="573"/>
        <item x="574"/>
        <item x="575"/>
        <item x="576"/>
        <item x="577"/>
        <item x="578"/>
        <item x="579"/>
        <item x="58"/>
        <item x="580"/>
        <item x="581"/>
        <item x="582"/>
        <item x="583"/>
        <item x="584"/>
        <item x="585"/>
        <item x="586"/>
        <item x="587"/>
        <item x="588"/>
        <item x="589"/>
        <item x="59"/>
        <item x="590"/>
        <item x="591"/>
        <item x="592"/>
        <item x="593"/>
        <item x="594"/>
        <item x="595"/>
        <item x="596"/>
        <item x="597"/>
        <item x="598"/>
        <item x="599"/>
        <item x="6"/>
        <item x="60"/>
        <item x="600"/>
        <item x="601"/>
        <item x="602"/>
        <item x="603"/>
        <item x="604"/>
        <item x="605"/>
        <item x="606"/>
        <item x="607"/>
        <item x="608"/>
        <item x="609"/>
        <item x="61"/>
        <item x="610"/>
        <item x="611"/>
        <item x="612"/>
        <item x="613"/>
        <item x="614"/>
        <item x="615"/>
        <item x="616"/>
        <item x="617"/>
        <item x="618"/>
        <item x="619"/>
        <item x="62"/>
        <item x="620"/>
        <item x="621"/>
        <item x="622"/>
        <item x="623"/>
        <item x="624"/>
        <item x="625"/>
        <item x="626"/>
        <item x="627"/>
        <item x="628"/>
        <item x="629"/>
        <item x="63"/>
        <item x="630"/>
        <item x="631"/>
        <item x="632"/>
        <item x="633"/>
        <item x="634"/>
        <item x="635"/>
        <item x="636"/>
        <item x="637"/>
        <item x="638"/>
        <item x="639"/>
        <item x="64"/>
        <item x="640"/>
        <item x="641"/>
        <item x="642"/>
        <item x="643"/>
        <item x="644"/>
        <item x="645"/>
        <item x="646"/>
        <item x="647"/>
        <item x="648"/>
        <item x="649"/>
        <item x="65"/>
        <item x="650"/>
        <item x="651"/>
        <item x="652"/>
        <item x="653"/>
        <item x="654"/>
        <item x="655"/>
        <item x="656"/>
        <item x="657"/>
        <item x="658"/>
        <item x="659"/>
        <item x="66"/>
        <item x="660"/>
        <item x="661"/>
        <item x="662"/>
        <item x="663"/>
        <item x="664"/>
        <item x="665"/>
        <item x="666"/>
        <item x="667"/>
        <item x="668"/>
        <item x="669"/>
        <item x="67"/>
        <item x="670"/>
        <item x="671"/>
        <item x="672"/>
        <item x="673"/>
        <item x="674"/>
        <item x="675"/>
        <item x="676"/>
        <item x="677"/>
        <item x="678"/>
        <item x="679"/>
        <item x="68"/>
        <item x="680"/>
        <item x="681"/>
        <item x="682"/>
        <item x="683"/>
        <item x="684"/>
        <item x="685"/>
        <item x="686"/>
        <item x="687"/>
        <item x="688"/>
        <item x="689"/>
        <item x="69"/>
        <item x="690"/>
        <item x="691"/>
        <item x="692"/>
        <item x="693"/>
        <item x="694"/>
        <item x="695"/>
        <item x="696"/>
        <item x="697"/>
        <item x="698"/>
        <item x="699"/>
        <item x="7"/>
        <item x="70"/>
        <item x="700"/>
        <item x="701"/>
        <item x="702"/>
        <item x="703"/>
        <item x="704"/>
        <item x="705"/>
        <item x="706"/>
        <item x="707"/>
        <item x="708"/>
        <item x="709"/>
        <item x="71"/>
        <item x="710"/>
        <item x="711"/>
        <item x="712"/>
        <item x="713"/>
        <item x="714"/>
        <item x="715"/>
        <item x="716"/>
        <item x="717"/>
        <item x="718"/>
        <item x="719"/>
        <item x="72"/>
        <item x="720"/>
        <item x="721"/>
        <item x="722"/>
        <item x="723"/>
        <item x="724"/>
        <item x="725"/>
        <item x="726"/>
        <item x="727"/>
        <item x="728"/>
        <item x="729"/>
        <item x="73"/>
        <item x="730"/>
        <item x="731"/>
        <item x="732"/>
        <item x="733"/>
        <item x="734"/>
        <item x="735"/>
        <item x="736"/>
        <item x="737"/>
        <item x="738"/>
        <item x="739"/>
        <item x="74"/>
        <item x="740"/>
        <item x="741"/>
        <item x="742"/>
        <item x="743"/>
        <item x="744"/>
        <item x="745"/>
        <item x="746"/>
        <item x="747"/>
        <item x="748"/>
        <item x="749"/>
        <item x="75"/>
        <item x="750"/>
        <item x="751"/>
        <item x="752"/>
        <item x="753"/>
        <item x="754"/>
        <item x="755"/>
        <item x="756"/>
        <item x="757"/>
        <item x="758"/>
        <item x="759"/>
        <item x="76"/>
        <item x="760"/>
        <item x="761"/>
        <item x="762"/>
        <item x="763"/>
        <item x="764"/>
        <item x="765"/>
        <item x="766"/>
        <item x="767"/>
        <item x="768"/>
        <item x="769"/>
        <item x="77"/>
        <item x="770"/>
        <item x="771"/>
        <item x="772"/>
        <item x="773"/>
        <item x="774"/>
        <item x="775"/>
        <item x="776"/>
        <item x="777"/>
        <item x="778"/>
        <item x="779"/>
        <item x="78"/>
        <item x="780"/>
        <item x="781"/>
        <item x="782"/>
        <item x="783"/>
        <item x="784"/>
        <item x="785"/>
        <item x="786"/>
        <item x="787"/>
        <item x="788"/>
        <item x="789"/>
        <item x="79"/>
        <item x="790"/>
        <item x="791"/>
        <item x="792"/>
        <item x="793"/>
        <item x="794"/>
        <item x="795"/>
        <item x="796"/>
        <item x="797"/>
        <item x="798"/>
        <item x="799"/>
        <item x="8"/>
        <item x="80"/>
        <item x="800"/>
        <item x="801"/>
        <item x="802"/>
        <item x="803"/>
        <item x="804"/>
        <item x="805"/>
        <item x="806"/>
        <item x="807"/>
        <item x="808"/>
        <item x="809"/>
        <item x="81"/>
        <item x="810"/>
        <item x="811"/>
        <item x="812"/>
        <item x="813"/>
        <item x="814"/>
        <item x="815"/>
        <item x="816"/>
        <item x="817"/>
        <item x="818"/>
        <item x="819"/>
        <item x="82"/>
        <item x="820"/>
        <item x="821"/>
        <item x="822"/>
        <item x="823"/>
        <item x="824"/>
        <item x="825"/>
        <item x="826"/>
        <item x="827"/>
        <item x="828"/>
        <item x="829"/>
        <item x="83"/>
        <item x="830"/>
        <item x="831"/>
        <item x="832"/>
        <item x="833"/>
        <item x="834"/>
        <item x="835"/>
        <item x="836"/>
        <item x="837"/>
        <item x="838"/>
        <item x="839"/>
        <item x="84"/>
        <item x="840"/>
        <item x="841"/>
        <item x="842"/>
        <item x="843"/>
        <item x="844"/>
        <item x="845"/>
        <item x="846"/>
        <item x="847"/>
        <item x="848"/>
        <item x="849"/>
        <item x="85"/>
        <item x="850"/>
        <item x="851"/>
        <item x="852"/>
        <item x="853"/>
        <item x="854"/>
        <item x="855"/>
        <item x="856"/>
        <item x="857"/>
        <item x="858"/>
        <item x="859"/>
        <item x="86"/>
        <item x="860"/>
        <item x="861"/>
        <item x="862"/>
        <item x="863"/>
        <item x="864"/>
        <item x="865"/>
        <item x="866"/>
        <item x="867"/>
        <item x="868"/>
        <item x="869"/>
        <item x="87"/>
        <item x="870"/>
        <item x="871"/>
        <item x="872"/>
        <item x="873"/>
        <item x="874"/>
        <item x="875"/>
        <item x="876"/>
        <item x="877"/>
        <item x="878"/>
        <item x="879"/>
        <item x="88"/>
        <item x="880"/>
        <item x="881"/>
        <item x="882"/>
        <item x="883"/>
        <item x="884"/>
        <item x="885"/>
        <item x="886"/>
        <item x="887"/>
        <item x="888"/>
        <item x="889"/>
        <item x="89"/>
        <item x="890"/>
        <item x="891"/>
        <item x="892"/>
        <item x="893"/>
        <item x="894"/>
        <item x="895"/>
        <item x="896"/>
        <item x="897"/>
        <item x="898"/>
        <item x="8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multipleItemSelectionAllowed="1" showAll="0">
      <items count="5">
        <item x="2"/>
        <item x="3"/>
        <item x="0"/>
        <item x="1"/>
        <item t="default"/>
      </items>
    </pivotField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showAll="0"/>
  </pivotFields>
  <rowFields count="2">
    <field x="3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PA" fld="8" subtotal="average" baseField="1" baseItem="0"/>
    <dataField name="Sum of Scholarship" fld="7" baseField="0" baseItem="0"/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F2D3FC-3108-4E61-A7B8-45E362F43557}" name="Table2" displayName="Table2" ref="Y2:Z3" totalsRowShown="0">
  <autoFilter ref="Y2:Z3" xr:uid="{6BF2D3FC-3108-4E61-A7B8-45E362F43557}"/>
  <tableColumns count="2">
    <tableColumn id="1" xr3:uid="{518F82C2-9A6A-4418-8639-9E1693360508}" name="ID"/>
    <tableColumn id="2" xr3:uid="{1DC2F7FD-FB2E-402B-B1C7-1D9C6DF03FBE}" name="GPA">
      <calculatedColumnFormula>INDEX(I2:I1201,MATCH(Table2[[#This Row],[ID]],A2:A1201,0))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A8EF2-C131-4518-A9D8-0E0EB0863A18}" name="Table3" displayName="Table3" ref="AB2:AC3" totalsRowShown="0">
  <autoFilter ref="AB2:AC3" xr:uid="{6BAA8EF2-C131-4518-A9D8-0E0EB0863A18}"/>
  <tableColumns count="2">
    <tableColumn id="1" xr3:uid="{87EEFF8B-E70B-44D2-A2FB-EFE6D20A1306}" name="ID"/>
    <tableColumn id="2" xr3:uid="{B099F23D-030C-45EF-BF44-BC0A16611744}" name="Course fee">
      <calculatedColumnFormula>INDEX(G2:G1201,MATCH(AB3,A2:A1201,0))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63F98-7B5D-4193-AA35-C1B94DB8CA43}" name="Table1" displayName="Table1" ref="AE2:AG3" totalsRowShown="0">
  <autoFilter ref="AE2:AG3" xr:uid="{B5063F98-7B5D-4193-AA35-C1B94DB8CA43}"/>
  <tableColumns count="3">
    <tableColumn id="1" xr3:uid="{BE0418F7-D987-464C-8F62-9C7D0A16C43E}" name="ID "/>
    <tableColumn id="2" xr3:uid="{3775BA85-27F5-4B41-9A17-68B045CFC4E4}" name="course name">
      <calculatedColumnFormula>INDEX(C2:C1201,MATCH(Table1[[#This Row],[ID ]],A2:A1201,0))</calculatedColumnFormula>
    </tableColumn>
    <tableColumn id="3" xr3:uid="{59C6EFB2-580A-4F14-B49D-86D2FC03CAD4}" name="Highest GPA">
      <calculatedColumnFormula>SUMIFS(I2:I1201,C2:C1201,Table1[[#This Row],[course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F42E-2E5F-4502-9300-EE188523CE33}">
  <dimension ref="A3:D12"/>
  <sheetViews>
    <sheetView workbookViewId="0">
      <selection activeCell="G8" sqref="G8"/>
    </sheetView>
  </sheetViews>
  <sheetFormatPr defaultRowHeight="15" x14ac:dyDescent="0.25"/>
  <cols>
    <col min="1" max="1" width="22.42578125" bestFit="1" customWidth="1"/>
    <col min="2" max="2" width="14.7109375" bestFit="1" customWidth="1"/>
  </cols>
  <sheetData>
    <row r="3" spans="1:4" x14ac:dyDescent="0.25">
      <c r="A3" s="4" t="s">
        <v>2436</v>
      </c>
      <c r="B3" t="s">
        <v>2438</v>
      </c>
    </row>
    <row r="4" spans="1:4" x14ac:dyDescent="0.25">
      <c r="A4" s="5" t="s">
        <v>57</v>
      </c>
      <c r="B4">
        <v>3.007792207792209</v>
      </c>
    </row>
    <row r="5" spans="1:4" x14ac:dyDescent="0.25">
      <c r="A5" s="5" t="s">
        <v>12</v>
      </c>
      <c r="B5">
        <v>3.0239716312056717</v>
      </c>
    </row>
    <row r="6" spans="1:4" x14ac:dyDescent="0.25">
      <c r="A6" s="5" t="s">
        <v>22</v>
      </c>
      <c r="B6">
        <v>2.9818181818181828</v>
      </c>
      <c r="D6" t="s">
        <v>2439</v>
      </c>
    </row>
    <row r="7" spans="1:4" x14ac:dyDescent="0.25">
      <c r="A7" s="5" t="s">
        <v>17</v>
      </c>
      <c r="B7">
        <v>3.0338194444444451</v>
      </c>
      <c r="D7">
        <f>MIN(B4:B11)</f>
        <v>2.9522424242424252</v>
      </c>
    </row>
    <row r="8" spans="1:4" x14ac:dyDescent="0.25">
      <c r="A8" s="5" t="s">
        <v>28</v>
      </c>
      <c r="B8">
        <v>3.0026506024096373</v>
      </c>
    </row>
    <row r="9" spans="1:4" x14ac:dyDescent="0.25">
      <c r="A9" s="5" t="s">
        <v>36</v>
      </c>
      <c r="B9" s="6">
        <v>2.9522424242424252</v>
      </c>
    </row>
    <row r="10" spans="1:4" x14ac:dyDescent="0.25">
      <c r="A10" s="5" t="s">
        <v>54</v>
      </c>
      <c r="B10">
        <v>2.9608860759493676</v>
      </c>
    </row>
    <row r="11" spans="1:4" x14ac:dyDescent="0.25">
      <c r="A11" s="5" t="s">
        <v>25</v>
      </c>
      <c r="B11">
        <v>3.032500000000002</v>
      </c>
    </row>
    <row r="12" spans="1:4" x14ac:dyDescent="0.25">
      <c r="A12" s="5" t="s">
        <v>2437</v>
      </c>
      <c r="B12">
        <v>2.9983166666666663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A3DE-E36D-4EB2-9D88-A87CAA313166}">
  <dimension ref="A4:D21"/>
  <sheetViews>
    <sheetView workbookViewId="0">
      <selection activeCell="F12" sqref="F12"/>
    </sheetView>
  </sheetViews>
  <sheetFormatPr defaultRowHeight="15" x14ac:dyDescent="0.25"/>
  <cols>
    <col min="1" max="1" width="14.140625" bestFit="1" customWidth="1"/>
    <col min="2" max="2" width="14.7109375" bestFit="1" customWidth="1"/>
    <col min="3" max="3" width="18.5703125" bestFit="1" customWidth="1"/>
    <col min="4" max="4" width="19.140625" bestFit="1" customWidth="1"/>
    <col min="5" max="1201" width="6.140625" bestFit="1" customWidth="1"/>
    <col min="1202" max="1202" width="18.5703125" bestFit="1" customWidth="1"/>
    <col min="1203" max="2401" width="6.140625" bestFit="1" customWidth="1"/>
    <col min="2402" max="2402" width="19.7109375" bestFit="1" customWidth="1"/>
    <col min="2403" max="2403" width="23.5703125" bestFit="1" customWidth="1"/>
  </cols>
  <sheetData>
    <row r="4" spans="1:4" x14ac:dyDescent="0.25">
      <c r="A4" s="4" t="s">
        <v>2436</v>
      </c>
      <c r="B4" t="s">
        <v>2438</v>
      </c>
      <c r="C4" t="s">
        <v>2441</v>
      </c>
      <c r="D4" t="s">
        <v>2442</v>
      </c>
    </row>
    <row r="5" spans="1:4" x14ac:dyDescent="0.25">
      <c r="A5" s="5" t="s">
        <v>31</v>
      </c>
      <c r="B5">
        <v>2.9453872053872043</v>
      </c>
      <c r="C5">
        <v>1476695</v>
      </c>
      <c r="D5">
        <v>297</v>
      </c>
    </row>
    <row r="6" spans="1:4" x14ac:dyDescent="0.25">
      <c r="A6" s="7" t="s">
        <v>19</v>
      </c>
      <c r="B6">
        <v>2.8859999999999997</v>
      </c>
      <c r="C6">
        <v>454957</v>
      </c>
      <c r="D6">
        <v>95</v>
      </c>
    </row>
    <row r="7" spans="1:4" x14ac:dyDescent="0.25">
      <c r="A7" s="7" t="s">
        <v>39</v>
      </c>
      <c r="B7">
        <v>3.0285714285714285</v>
      </c>
      <c r="C7">
        <v>118075</v>
      </c>
      <c r="D7">
        <v>28</v>
      </c>
    </row>
    <row r="8" spans="1:4" x14ac:dyDescent="0.25">
      <c r="A8" s="7" t="s">
        <v>14</v>
      </c>
      <c r="B8">
        <v>2.964425287356323</v>
      </c>
      <c r="C8">
        <v>903663</v>
      </c>
      <c r="D8">
        <v>174</v>
      </c>
    </row>
    <row r="9" spans="1:4" x14ac:dyDescent="0.25">
      <c r="A9" s="5" t="s">
        <v>62</v>
      </c>
      <c r="B9">
        <v>3.0172491909385095</v>
      </c>
      <c r="C9">
        <v>1556761</v>
      </c>
      <c r="D9">
        <v>309</v>
      </c>
    </row>
    <row r="10" spans="1:4" x14ac:dyDescent="0.25">
      <c r="A10" s="7" t="s">
        <v>19</v>
      </c>
      <c r="B10">
        <v>3.0360256410256405</v>
      </c>
      <c r="C10">
        <v>395791</v>
      </c>
      <c r="D10">
        <v>78</v>
      </c>
    </row>
    <row r="11" spans="1:4" x14ac:dyDescent="0.25">
      <c r="A11" s="7" t="s">
        <v>39</v>
      </c>
      <c r="B11">
        <v>3.0523333333333329</v>
      </c>
      <c r="C11">
        <v>136218</v>
      </c>
      <c r="D11">
        <v>30</v>
      </c>
    </row>
    <row r="12" spans="1:4" x14ac:dyDescent="0.25">
      <c r="A12" s="7" t="s">
        <v>14</v>
      </c>
      <c r="B12">
        <v>3.0047263681592047</v>
      </c>
      <c r="C12">
        <v>1024752</v>
      </c>
      <c r="D12">
        <v>201</v>
      </c>
    </row>
    <row r="13" spans="1:4" x14ac:dyDescent="0.25">
      <c r="A13" s="5" t="s">
        <v>13</v>
      </c>
      <c r="B13">
        <v>3.0134006734006742</v>
      </c>
      <c r="C13">
        <v>1412848</v>
      </c>
      <c r="D13">
        <v>297</v>
      </c>
    </row>
    <row r="14" spans="1:4" x14ac:dyDescent="0.25">
      <c r="A14" s="7" t="s">
        <v>19</v>
      </c>
      <c r="B14">
        <v>3.0764705882352943</v>
      </c>
      <c r="C14">
        <v>415307</v>
      </c>
      <c r="D14">
        <v>85</v>
      </c>
    </row>
    <row r="15" spans="1:4" x14ac:dyDescent="0.25">
      <c r="A15" s="7" t="s">
        <v>39</v>
      </c>
      <c r="B15">
        <v>2.7511538461538469</v>
      </c>
      <c r="C15">
        <v>138856</v>
      </c>
      <c r="D15">
        <v>26</v>
      </c>
    </row>
    <row r="16" spans="1:4" x14ac:dyDescent="0.25">
      <c r="A16" s="7" t="s">
        <v>14</v>
      </c>
      <c r="B16">
        <v>3.0212365591397852</v>
      </c>
      <c r="C16">
        <v>858685</v>
      </c>
      <c r="D16">
        <v>186</v>
      </c>
    </row>
    <row r="17" spans="1:4" x14ac:dyDescent="0.25">
      <c r="A17" s="5" t="s">
        <v>18</v>
      </c>
      <c r="B17">
        <v>3.0164646464646458</v>
      </c>
      <c r="C17">
        <v>1495493</v>
      </c>
      <c r="D17">
        <v>297</v>
      </c>
    </row>
    <row r="18" spans="1:4" x14ac:dyDescent="0.25">
      <c r="A18" s="7" t="s">
        <v>19</v>
      </c>
      <c r="B18">
        <v>3.0353125000000012</v>
      </c>
      <c r="C18">
        <v>479858</v>
      </c>
      <c r="D18">
        <v>96</v>
      </c>
    </row>
    <row r="19" spans="1:4" x14ac:dyDescent="0.25">
      <c r="A19" s="7" t="s">
        <v>39</v>
      </c>
      <c r="B19">
        <v>2.934814814814815</v>
      </c>
      <c r="C19">
        <v>142544</v>
      </c>
      <c r="D19">
        <v>27</v>
      </c>
    </row>
    <row r="20" spans="1:4" x14ac:dyDescent="0.25">
      <c r="A20" s="7" t="s">
        <v>14</v>
      </c>
      <c r="B20">
        <v>3.0187356321839087</v>
      </c>
      <c r="C20">
        <v>873091</v>
      </c>
      <c r="D20">
        <v>174</v>
      </c>
    </row>
    <row r="21" spans="1:4" x14ac:dyDescent="0.25">
      <c r="A21" s="5" t="s">
        <v>2437</v>
      </c>
      <c r="B21">
        <v>2.9983166666666694</v>
      </c>
      <c r="C21">
        <v>5941797</v>
      </c>
      <c r="D2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03F-D330-402F-98BC-1023DD6BA74D}">
  <dimension ref="A1:AG1201"/>
  <sheetViews>
    <sheetView tabSelected="1" topLeftCell="P1" workbookViewId="0">
      <selection activeCell="AF11" sqref="AF11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22.42578125" bestFit="1" customWidth="1"/>
    <col min="4" max="4" width="11.28515625" bestFit="1" customWidth="1"/>
    <col min="5" max="5" width="15.140625" bestFit="1" customWidth="1"/>
    <col min="6" max="6" width="10.42578125" bestFit="1" customWidth="1"/>
    <col min="7" max="7" width="10.5703125" bestFit="1" customWidth="1"/>
    <col min="8" max="8" width="11.5703125" bestFit="1" customWidth="1"/>
    <col min="9" max="9" width="5" bestFit="1" customWidth="1"/>
    <col min="10" max="10" width="13.85546875" bestFit="1" customWidth="1"/>
    <col min="13" max="13" width="9.140625" customWidth="1"/>
    <col min="14" max="14" width="14.85546875" customWidth="1"/>
    <col min="15" max="15" width="12" customWidth="1"/>
    <col min="26" max="27" width="11.28515625" customWidth="1"/>
    <col min="29" max="29" width="13.140625" customWidth="1"/>
    <col min="32" max="32" width="14.7109375" customWidth="1"/>
    <col min="33" max="33" width="14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2434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AB1">
        <v>14</v>
      </c>
      <c r="AE1">
        <v>15</v>
      </c>
    </row>
    <row r="2" spans="1:33" x14ac:dyDescent="0.25">
      <c r="A2" t="s">
        <v>10</v>
      </c>
      <c r="B2" t="s">
        <v>11</v>
      </c>
      <c r="C2" t="s">
        <v>12</v>
      </c>
      <c r="D2" t="s">
        <v>13</v>
      </c>
      <c r="E2" s="1">
        <v>45013</v>
      </c>
      <c r="F2" t="s">
        <v>14</v>
      </c>
      <c r="G2">
        <v>14714</v>
      </c>
      <c r="H2">
        <v>1099</v>
      </c>
      <c r="I2">
        <v>2.39</v>
      </c>
      <c r="J2">
        <v>89</v>
      </c>
      <c r="L2" s="2"/>
      <c r="M2">
        <f ca="1">IF(F2="Enrolled",TODAY()-E2,"")</f>
        <v>836</v>
      </c>
      <c r="N2" s="3" t="str" cm="1">
        <f t="array" ref="N2">_xlfn.IFS(I2&gt;=3.5,"Excellent",I2&gt;=3,"Good",I2&gt;=2,"Average",I2&lt;2,"Poor")</f>
        <v>Average</v>
      </c>
      <c r="O2" t="str">
        <f>VLOOKUP(D2,'Faculty head'!A1:B5,2,FALSE)</f>
        <v xml:space="preserve"> Dr. Mehta</v>
      </c>
      <c r="P2" t="str">
        <f>IF(H2&gt;0.5*G2,"True","")</f>
        <v/>
      </c>
      <c r="Q2">
        <f>SUMIFS(G2:G1201,F2:F1201,"Completed",D2:D1201,"Science")</f>
        <v>813573</v>
      </c>
      <c r="R2" cm="1">
        <f t="array" ref="R2:R1201">YEAR(E2:E1201)</f>
        <v>2023</v>
      </c>
      <c r="S2" t="s">
        <v>2435</v>
      </c>
      <c r="T2">
        <f>COUNTIFS(F2:F1201,"Completed",J2:J1201,"&gt;100")</f>
        <v>56</v>
      </c>
      <c r="U2">
        <f>LARGE(I2:I1201,2)</f>
        <v>4</v>
      </c>
      <c r="V2" t="s">
        <v>2440</v>
      </c>
      <c r="W2" t="s">
        <v>2440</v>
      </c>
      <c r="X2" t="str">
        <f ca="1">IF(F2="Completed",TODAY()-E2,"")</f>
        <v/>
      </c>
      <c r="Y2" t="s">
        <v>2443</v>
      </c>
      <c r="Z2" t="s">
        <v>8</v>
      </c>
      <c r="AB2" t="s">
        <v>2443</v>
      </c>
      <c r="AC2" t="s">
        <v>2444</v>
      </c>
      <c r="AE2" t="s">
        <v>2445</v>
      </c>
      <c r="AF2" t="s">
        <v>2446</v>
      </c>
      <c r="AG2" t="s">
        <v>2447</v>
      </c>
    </row>
    <row r="3" spans="1:33" x14ac:dyDescent="0.25">
      <c r="A3" t="s">
        <v>15</v>
      </c>
      <c r="B3" t="s">
        <v>16</v>
      </c>
      <c r="C3" t="s">
        <v>17</v>
      </c>
      <c r="D3" t="s">
        <v>18</v>
      </c>
      <c r="E3" s="1">
        <v>44855</v>
      </c>
      <c r="F3" t="s">
        <v>19</v>
      </c>
      <c r="G3">
        <v>5718</v>
      </c>
      <c r="H3">
        <v>4700</v>
      </c>
      <c r="I3">
        <v>3.49</v>
      </c>
      <c r="J3">
        <v>79</v>
      </c>
      <c r="M3" t="str">
        <f t="shared" ref="M3:M66" ca="1" si="0">IF(F3="Enrolled",TODAY()-E3,"")</f>
        <v/>
      </c>
      <c r="N3" s="3" t="str" cm="1">
        <f t="array" ref="N3">_xlfn.IFS(I3&gt;=3.5,"Excellent",I3&gt;=3,"Good",I3&gt;=2,"Average",I3&lt;2,"Poor")</f>
        <v>Good</v>
      </c>
      <c r="P3" t="str">
        <f t="shared" ref="P3:P66" si="1">IF(H3&gt;0.5*G3,"True","")</f>
        <v>True</v>
      </c>
      <c r="Q3">
        <f t="shared" ref="Q3:Q66" si="2">SUMIFS(G3:G1202,F3:F1202,"Completed",D3:D1202,"Science")</f>
        <v>813573</v>
      </c>
      <c r="R3">
        <v>2022</v>
      </c>
      <c r="X3">
        <f t="shared" ref="X3:X66" ca="1" si="3">IF(F3="Completed",TODAY()-E3,"")</f>
        <v>994</v>
      </c>
      <c r="Y3" t="s">
        <v>889</v>
      </c>
      <c r="Z3">
        <f>INDEX(I2:I1201,MATCH(Table2[[#This Row],[ID]],A2:A1201,0))</f>
        <v>2.37</v>
      </c>
      <c r="AB3" t="s">
        <v>889</v>
      </c>
      <c r="AC3">
        <f>INDEX(G2:G1201,MATCH(AB3,A2:A1201,0))</f>
        <v>12361</v>
      </c>
      <c r="AE3" t="s">
        <v>15</v>
      </c>
      <c r="AF3" t="str">
        <f>INDEX(C2:C1201,MATCH(Table1[[#This Row],[ID ]],A2:A1201,0))</f>
        <v>Data Science</v>
      </c>
      <c r="AG3">
        <f>SUMIFS(I2:I1201,C2:C1201,Table1[[#This Row],[course name]])</f>
        <v>436.87000000000006</v>
      </c>
    </row>
    <row r="4" spans="1:33" x14ac:dyDescent="0.25">
      <c r="A4" t="s">
        <v>20</v>
      </c>
      <c r="B4" t="s">
        <v>21</v>
      </c>
      <c r="C4" t="s">
        <v>22</v>
      </c>
      <c r="D4" t="s">
        <v>13</v>
      </c>
      <c r="E4" s="1">
        <v>45180</v>
      </c>
      <c r="F4" t="s">
        <v>14</v>
      </c>
      <c r="G4">
        <v>5726</v>
      </c>
      <c r="H4">
        <v>3408</v>
      </c>
      <c r="I4">
        <v>3.08</v>
      </c>
      <c r="J4">
        <v>84</v>
      </c>
      <c r="M4">
        <f t="shared" ca="1" si="0"/>
        <v>669</v>
      </c>
      <c r="N4" s="3" t="str" cm="1">
        <f t="array" ref="N4">_xlfn.IFS(I4&gt;=3.5,"Excellent",I4&gt;=3,"Good",I4&gt;=2,"Average",I4&lt;2,"Poor")</f>
        <v>Good</v>
      </c>
      <c r="P4" t="str">
        <f t="shared" si="1"/>
        <v>True</v>
      </c>
      <c r="Q4">
        <f t="shared" si="2"/>
        <v>807855</v>
      </c>
      <c r="R4">
        <v>2023</v>
      </c>
      <c r="X4" t="str">
        <f t="shared" ca="1" si="3"/>
        <v/>
      </c>
    </row>
    <row r="5" spans="1:33" x14ac:dyDescent="0.25">
      <c r="A5" t="s">
        <v>23</v>
      </c>
      <c r="B5" t="s">
        <v>24</v>
      </c>
      <c r="C5" t="s">
        <v>25</v>
      </c>
      <c r="D5" t="s">
        <v>18</v>
      </c>
      <c r="E5" s="1">
        <v>45253</v>
      </c>
      <c r="F5" t="s">
        <v>19</v>
      </c>
      <c r="G5">
        <v>10846</v>
      </c>
      <c r="H5">
        <v>3245</v>
      </c>
      <c r="I5">
        <v>3.59</v>
      </c>
      <c r="J5">
        <v>9</v>
      </c>
      <c r="M5" t="str">
        <f t="shared" ca="1" si="0"/>
        <v/>
      </c>
      <c r="N5" s="3" t="str" cm="1">
        <f t="array" ref="N5">_xlfn.IFS(I5&gt;=3.5,"Excellent",I5&gt;=3,"Good",I5&gt;=2,"Average",I5&lt;2,"Poor")</f>
        <v>Excellent</v>
      </c>
      <c r="P5" t="str">
        <f t="shared" si="1"/>
        <v/>
      </c>
      <c r="Q5">
        <f t="shared" si="2"/>
        <v>807855</v>
      </c>
      <c r="R5">
        <v>2023</v>
      </c>
      <c r="X5">
        <f t="shared" ca="1" si="3"/>
        <v>596</v>
      </c>
    </row>
    <row r="6" spans="1:33" x14ac:dyDescent="0.25">
      <c r="A6" t="s">
        <v>26</v>
      </c>
      <c r="B6" t="s">
        <v>27</v>
      </c>
      <c r="C6" t="s">
        <v>28</v>
      </c>
      <c r="D6" t="s">
        <v>18</v>
      </c>
      <c r="E6" s="1">
        <v>45400</v>
      </c>
      <c r="F6" t="s">
        <v>14</v>
      </c>
      <c r="G6">
        <v>11437</v>
      </c>
      <c r="H6">
        <v>4259</v>
      </c>
      <c r="I6">
        <v>3.31</v>
      </c>
      <c r="J6">
        <v>72</v>
      </c>
      <c r="M6">
        <f t="shared" ca="1" si="0"/>
        <v>449</v>
      </c>
      <c r="N6" s="3" t="str" cm="1">
        <f t="array" ref="N6">_xlfn.IFS(I6&gt;=3.5,"Excellent",I6&gt;=3,"Good",I6&gt;=2,"Average",I6&lt;2,"Poor")</f>
        <v>Good</v>
      </c>
      <c r="P6" t="str">
        <f t="shared" si="1"/>
        <v/>
      </c>
      <c r="Q6">
        <f t="shared" si="2"/>
        <v>797009</v>
      </c>
      <c r="R6">
        <v>2024</v>
      </c>
      <c r="X6" t="str">
        <f t="shared" ca="1" si="3"/>
        <v/>
      </c>
    </row>
    <row r="7" spans="1:33" x14ac:dyDescent="0.25">
      <c r="A7" t="s">
        <v>29</v>
      </c>
      <c r="B7" t="s">
        <v>30</v>
      </c>
      <c r="C7" t="s">
        <v>17</v>
      </c>
      <c r="D7" t="s">
        <v>31</v>
      </c>
      <c r="E7" s="1">
        <v>44737</v>
      </c>
      <c r="F7" t="s">
        <v>19</v>
      </c>
      <c r="G7">
        <v>13342</v>
      </c>
      <c r="H7">
        <v>2831</v>
      </c>
      <c r="I7">
        <v>3.39</v>
      </c>
      <c r="J7">
        <v>107</v>
      </c>
      <c r="M7" t="str">
        <f t="shared" ca="1" si="0"/>
        <v/>
      </c>
      <c r="N7" s="3" t="str" cm="1">
        <f t="array" ref="N7">_xlfn.IFS(I7&gt;=3.5,"Excellent",I7&gt;=3,"Good",I7&gt;=2,"Average",I7&lt;2,"Poor")</f>
        <v>Good</v>
      </c>
      <c r="P7" t="str">
        <f t="shared" si="1"/>
        <v/>
      </c>
      <c r="Q7">
        <f t="shared" si="2"/>
        <v>797009</v>
      </c>
      <c r="R7">
        <v>2022</v>
      </c>
      <c r="X7">
        <f t="shared" ca="1" si="3"/>
        <v>1112</v>
      </c>
    </row>
    <row r="8" spans="1:33" x14ac:dyDescent="0.25">
      <c r="A8" t="s">
        <v>32</v>
      </c>
      <c r="B8" t="s">
        <v>33</v>
      </c>
      <c r="C8" t="s">
        <v>25</v>
      </c>
      <c r="D8" t="s">
        <v>13</v>
      </c>
      <c r="E8" s="1">
        <v>44976</v>
      </c>
      <c r="F8" t="s">
        <v>14</v>
      </c>
      <c r="G8">
        <v>3831</v>
      </c>
      <c r="H8">
        <v>3078</v>
      </c>
      <c r="I8">
        <v>2.4500000000000002</v>
      </c>
      <c r="J8">
        <v>70</v>
      </c>
      <c r="M8">
        <f t="shared" ca="1" si="0"/>
        <v>873</v>
      </c>
      <c r="N8" s="3" t="str" cm="1">
        <f t="array" ref="N8">_xlfn.IFS(I8&gt;=3.5,"Excellent",I8&gt;=3,"Good",I8&gt;=2,"Average",I8&lt;2,"Poor")</f>
        <v>Average</v>
      </c>
      <c r="P8" t="str">
        <f t="shared" si="1"/>
        <v>True</v>
      </c>
      <c r="Q8">
        <f t="shared" si="2"/>
        <v>797009</v>
      </c>
      <c r="R8">
        <v>2023</v>
      </c>
      <c r="X8" t="str">
        <f t="shared" ca="1" si="3"/>
        <v/>
      </c>
    </row>
    <row r="9" spans="1:33" x14ac:dyDescent="0.25">
      <c r="A9" t="s">
        <v>34</v>
      </c>
      <c r="B9" t="s">
        <v>35</v>
      </c>
      <c r="C9" t="s">
        <v>36</v>
      </c>
      <c r="D9" t="s">
        <v>13</v>
      </c>
      <c r="E9" s="1">
        <v>44714</v>
      </c>
      <c r="F9" t="s">
        <v>14</v>
      </c>
      <c r="G9">
        <v>8155</v>
      </c>
      <c r="H9">
        <v>6039</v>
      </c>
      <c r="I9">
        <v>3.41</v>
      </c>
      <c r="J9">
        <v>118</v>
      </c>
      <c r="M9">
        <f t="shared" ca="1" si="0"/>
        <v>1135</v>
      </c>
      <c r="N9" s="3" t="str" cm="1">
        <f t="array" ref="N9">_xlfn.IFS(I9&gt;=3.5,"Excellent",I9&gt;=3,"Good",I9&gt;=2,"Average",I9&lt;2,"Poor")</f>
        <v>Good</v>
      </c>
      <c r="P9" t="str">
        <f t="shared" si="1"/>
        <v>True</v>
      </c>
      <c r="Q9">
        <f t="shared" si="2"/>
        <v>797009</v>
      </c>
      <c r="R9">
        <v>2022</v>
      </c>
      <c r="X9" t="str">
        <f t="shared" ca="1" si="3"/>
        <v/>
      </c>
    </row>
    <row r="10" spans="1:33" x14ac:dyDescent="0.25">
      <c r="A10" t="s">
        <v>37</v>
      </c>
      <c r="B10" t="s">
        <v>38</v>
      </c>
      <c r="C10" t="s">
        <v>28</v>
      </c>
      <c r="D10" t="s">
        <v>31</v>
      </c>
      <c r="E10" s="1">
        <v>44939</v>
      </c>
      <c r="F10" t="s">
        <v>39</v>
      </c>
      <c r="G10">
        <v>4061</v>
      </c>
      <c r="H10">
        <v>2208</v>
      </c>
      <c r="I10">
        <v>3.2</v>
      </c>
      <c r="J10">
        <v>100</v>
      </c>
      <c r="M10" t="str">
        <f t="shared" ca="1" si="0"/>
        <v/>
      </c>
      <c r="N10" s="3" t="str" cm="1">
        <f t="array" ref="N10">_xlfn.IFS(I10&gt;=3.5,"Excellent",I10&gt;=3,"Good",I10&gt;=2,"Average",I10&lt;2,"Poor")</f>
        <v>Good</v>
      </c>
      <c r="P10" t="str">
        <f t="shared" si="1"/>
        <v>True</v>
      </c>
      <c r="Q10">
        <f t="shared" si="2"/>
        <v>797009</v>
      </c>
      <c r="R10">
        <v>2023</v>
      </c>
      <c r="X10" t="str">
        <f t="shared" ca="1" si="3"/>
        <v/>
      </c>
    </row>
    <row r="11" spans="1:33" x14ac:dyDescent="0.25">
      <c r="A11" t="s">
        <v>40</v>
      </c>
      <c r="B11" t="s">
        <v>41</v>
      </c>
      <c r="C11" t="s">
        <v>17</v>
      </c>
      <c r="D11" t="s">
        <v>13</v>
      </c>
      <c r="E11" s="1">
        <v>44881</v>
      </c>
      <c r="F11" t="s">
        <v>19</v>
      </c>
      <c r="G11">
        <v>5718</v>
      </c>
      <c r="H11">
        <v>2737</v>
      </c>
      <c r="I11">
        <v>2.02</v>
      </c>
      <c r="J11">
        <v>38</v>
      </c>
      <c r="M11" t="str">
        <f t="shared" ca="1" si="0"/>
        <v/>
      </c>
      <c r="N11" s="3" t="str" cm="1">
        <f t="array" ref="N11">_xlfn.IFS(I11&gt;=3.5,"Excellent",I11&gt;=3,"Good",I11&gt;=2,"Average",I11&lt;2,"Poor")</f>
        <v>Average</v>
      </c>
      <c r="P11" t="str">
        <f t="shared" si="1"/>
        <v/>
      </c>
      <c r="Q11">
        <f t="shared" si="2"/>
        <v>797009</v>
      </c>
      <c r="R11">
        <v>2022</v>
      </c>
      <c r="X11">
        <f t="shared" ca="1" si="3"/>
        <v>968</v>
      </c>
    </row>
    <row r="12" spans="1:33" x14ac:dyDescent="0.25">
      <c r="A12" t="s">
        <v>42</v>
      </c>
      <c r="B12" t="s">
        <v>43</v>
      </c>
      <c r="C12" t="s">
        <v>22</v>
      </c>
      <c r="D12" t="s">
        <v>31</v>
      </c>
      <c r="E12" s="1">
        <v>45009</v>
      </c>
      <c r="F12" t="s">
        <v>14</v>
      </c>
      <c r="G12">
        <v>9724</v>
      </c>
      <c r="H12">
        <v>2303</v>
      </c>
      <c r="I12">
        <v>2.61</v>
      </c>
      <c r="J12">
        <v>52</v>
      </c>
      <c r="M12">
        <f t="shared" ca="1" si="0"/>
        <v>840</v>
      </c>
      <c r="N12" s="3" t="str" cm="1">
        <f t="array" ref="N12">_xlfn.IFS(I12&gt;=3.5,"Excellent",I12&gt;=3,"Good",I12&gt;=2,"Average",I12&lt;2,"Poor")</f>
        <v>Average</v>
      </c>
      <c r="P12" t="str">
        <f t="shared" si="1"/>
        <v/>
      </c>
      <c r="Q12">
        <f t="shared" si="2"/>
        <v>797009</v>
      </c>
      <c r="R12">
        <v>2023</v>
      </c>
      <c r="X12" t="str">
        <f t="shared" ca="1" si="3"/>
        <v/>
      </c>
    </row>
    <row r="13" spans="1:33" x14ac:dyDescent="0.25">
      <c r="A13" t="s">
        <v>44</v>
      </c>
      <c r="B13" t="s">
        <v>45</v>
      </c>
      <c r="C13" t="s">
        <v>28</v>
      </c>
      <c r="D13" t="s">
        <v>31</v>
      </c>
      <c r="E13" s="1">
        <v>44624</v>
      </c>
      <c r="F13" t="s">
        <v>14</v>
      </c>
      <c r="G13">
        <v>6176</v>
      </c>
      <c r="H13">
        <v>5301</v>
      </c>
      <c r="I13">
        <v>3.16</v>
      </c>
      <c r="J13">
        <v>37</v>
      </c>
      <c r="M13">
        <f t="shared" ca="1" si="0"/>
        <v>1225</v>
      </c>
      <c r="N13" s="3" t="str" cm="1">
        <f t="array" ref="N13">_xlfn.IFS(I13&gt;=3.5,"Excellent",I13&gt;=3,"Good",I13&gt;=2,"Average",I13&lt;2,"Poor")</f>
        <v>Good</v>
      </c>
      <c r="P13" t="str">
        <f t="shared" si="1"/>
        <v>True</v>
      </c>
      <c r="Q13">
        <f t="shared" si="2"/>
        <v>797009</v>
      </c>
      <c r="R13">
        <v>2022</v>
      </c>
      <c r="X13" t="str">
        <f t="shared" ca="1" si="3"/>
        <v/>
      </c>
    </row>
    <row r="14" spans="1:33" x14ac:dyDescent="0.25">
      <c r="A14" t="s">
        <v>46</v>
      </c>
      <c r="B14" t="s">
        <v>47</v>
      </c>
      <c r="C14" t="s">
        <v>17</v>
      </c>
      <c r="D14" t="s">
        <v>18</v>
      </c>
      <c r="E14" s="1">
        <v>45219</v>
      </c>
      <c r="F14" t="s">
        <v>19</v>
      </c>
      <c r="G14">
        <v>11085</v>
      </c>
      <c r="H14">
        <v>1939</v>
      </c>
      <c r="I14">
        <v>3.02</v>
      </c>
      <c r="J14">
        <v>107</v>
      </c>
      <c r="M14" t="str">
        <f t="shared" ca="1" si="0"/>
        <v/>
      </c>
      <c r="N14" s="3" t="str" cm="1">
        <f t="array" ref="N14">_xlfn.IFS(I14&gt;=3.5,"Excellent",I14&gt;=3,"Good",I14&gt;=2,"Average",I14&lt;2,"Poor")</f>
        <v>Good</v>
      </c>
      <c r="P14" t="str">
        <f t="shared" si="1"/>
        <v/>
      </c>
      <c r="Q14">
        <f t="shared" si="2"/>
        <v>797009</v>
      </c>
      <c r="R14">
        <v>2023</v>
      </c>
      <c r="X14">
        <f t="shared" ca="1" si="3"/>
        <v>630</v>
      </c>
    </row>
    <row r="15" spans="1:33" x14ac:dyDescent="0.25">
      <c r="A15" t="s">
        <v>48</v>
      </c>
      <c r="B15" t="s">
        <v>49</v>
      </c>
      <c r="C15" t="s">
        <v>36</v>
      </c>
      <c r="D15" t="s">
        <v>18</v>
      </c>
      <c r="E15" s="1">
        <v>44867</v>
      </c>
      <c r="F15" t="s">
        <v>19</v>
      </c>
      <c r="G15">
        <v>8006</v>
      </c>
      <c r="H15">
        <v>7602</v>
      </c>
      <c r="I15">
        <v>3.38</v>
      </c>
      <c r="J15">
        <v>84</v>
      </c>
      <c r="M15" t="str">
        <f t="shared" ca="1" si="0"/>
        <v/>
      </c>
      <c r="N15" s="3" t="str" cm="1">
        <f t="array" ref="N15">_xlfn.IFS(I15&gt;=3.5,"Excellent",I15&gt;=3,"Good",I15&gt;=2,"Average",I15&lt;2,"Poor")</f>
        <v>Good</v>
      </c>
      <c r="P15" t="str">
        <f t="shared" si="1"/>
        <v>True</v>
      </c>
      <c r="Q15">
        <f t="shared" si="2"/>
        <v>785924</v>
      </c>
      <c r="R15">
        <v>2022</v>
      </c>
      <c r="X15">
        <f t="shared" ca="1" si="3"/>
        <v>982</v>
      </c>
    </row>
    <row r="16" spans="1:33" x14ac:dyDescent="0.25">
      <c r="A16" t="s">
        <v>50</v>
      </c>
      <c r="B16" t="s">
        <v>51</v>
      </c>
      <c r="C16" t="s">
        <v>36</v>
      </c>
      <c r="D16" t="s">
        <v>18</v>
      </c>
      <c r="E16" s="1">
        <v>45196</v>
      </c>
      <c r="F16" t="s">
        <v>14</v>
      </c>
      <c r="G16">
        <v>14699</v>
      </c>
      <c r="H16">
        <v>4188</v>
      </c>
      <c r="I16">
        <v>3.4</v>
      </c>
      <c r="J16">
        <v>25</v>
      </c>
      <c r="M16">
        <f t="shared" ca="1" si="0"/>
        <v>653</v>
      </c>
      <c r="N16" s="3" t="str" cm="1">
        <f t="array" ref="N16">_xlfn.IFS(I16&gt;=3.5,"Excellent",I16&gt;=3,"Good",I16&gt;=2,"Average",I16&lt;2,"Poor")</f>
        <v>Good</v>
      </c>
      <c r="P16" t="str">
        <f t="shared" si="1"/>
        <v/>
      </c>
      <c r="Q16">
        <f t="shared" si="2"/>
        <v>777918</v>
      </c>
      <c r="R16">
        <v>2023</v>
      </c>
      <c r="X16" t="str">
        <f t="shared" ca="1" si="3"/>
        <v/>
      </c>
    </row>
    <row r="17" spans="1:24" x14ac:dyDescent="0.25">
      <c r="A17" t="s">
        <v>52</v>
      </c>
      <c r="B17" t="s">
        <v>53</v>
      </c>
      <c r="C17" t="s">
        <v>54</v>
      </c>
      <c r="D17" t="s">
        <v>31</v>
      </c>
      <c r="E17" s="1">
        <v>44685</v>
      </c>
      <c r="F17" t="s">
        <v>19</v>
      </c>
      <c r="G17">
        <v>10985</v>
      </c>
      <c r="H17">
        <v>1391</v>
      </c>
      <c r="I17">
        <v>3.47</v>
      </c>
      <c r="J17">
        <v>18</v>
      </c>
      <c r="M17" t="str">
        <f t="shared" ca="1" si="0"/>
        <v/>
      </c>
      <c r="N17" s="3" t="str" cm="1">
        <f t="array" ref="N17">_xlfn.IFS(I17&gt;=3.5,"Excellent",I17&gt;=3,"Good",I17&gt;=2,"Average",I17&lt;2,"Poor")</f>
        <v>Good</v>
      </c>
      <c r="P17" t="str">
        <f t="shared" si="1"/>
        <v/>
      </c>
      <c r="Q17">
        <f t="shared" si="2"/>
        <v>777918</v>
      </c>
      <c r="R17">
        <v>2022</v>
      </c>
      <c r="X17">
        <f t="shared" ca="1" si="3"/>
        <v>1164</v>
      </c>
    </row>
    <row r="18" spans="1:24" x14ac:dyDescent="0.25">
      <c r="A18" t="s">
        <v>55</v>
      </c>
      <c r="B18" t="s">
        <v>56</v>
      </c>
      <c r="C18" t="s">
        <v>57</v>
      </c>
      <c r="D18" t="s">
        <v>13</v>
      </c>
      <c r="E18" s="1">
        <v>45129</v>
      </c>
      <c r="F18" t="s">
        <v>14</v>
      </c>
      <c r="G18">
        <v>6946</v>
      </c>
      <c r="H18">
        <v>8514</v>
      </c>
      <c r="I18">
        <v>2.08</v>
      </c>
      <c r="J18">
        <v>73</v>
      </c>
      <c r="M18">
        <f t="shared" ca="1" si="0"/>
        <v>720</v>
      </c>
      <c r="N18" s="3" t="str" cm="1">
        <f t="array" ref="N18">_xlfn.IFS(I18&gt;=3.5,"Excellent",I18&gt;=3,"Good",I18&gt;=2,"Average",I18&lt;2,"Poor")</f>
        <v>Average</v>
      </c>
      <c r="P18" t="str">
        <f t="shared" si="1"/>
        <v>True</v>
      </c>
      <c r="Q18">
        <f t="shared" si="2"/>
        <v>777918</v>
      </c>
      <c r="R18">
        <v>2023</v>
      </c>
      <c r="X18" t="str">
        <f t="shared" ca="1" si="3"/>
        <v/>
      </c>
    </row>
    <row r="19" spans="1:24" x14ac:dyDescent="0.25">
      <c r="A19" t="s">
        <v>58</v>
      </c>
      <c r="B19" t="s">
        <v>59</v>
      </c>
      <c r="C19" t="s">
        <v>22</v>
      </c>
      <c r="D19" t="s">
        <v>18</v>
      </c>
      <c r="E19" s="1">
        <v>45222</v>
      </c>
      <c r="F19" t="s">
        <v>14</v>
      </c>
      <c r="G19">
        <v>5088</v>
      </c>
      <c r="H19">
        <v>1973</v>
      </c>
      <c r="I19">
        <v>3.56</v>
      </c>
      <c r="J19">
        <v>52</v>
      </c>
      <c r="M19">
        <f t="shared" ca="1" si="0"/>
        <v>627</v>
      </c>
      <c r="N19" s="3" t="str" cm="1">
        <f t="array" ref="N19">_xlfn.IFS(I19&gt;=3.5,"Excellent",I19&gt;=3,"Good",I19&gt;=2,"Average",I19&lt;2,"Poor")</f>
        <v>Excellent</v>
      </c>
      <c r="P19" t="str">
        <f t="shared" si="1"/>
        <v/>
      </c>
      <c r="Q19">
        <f t="shared" si="2"/>
        <v>777918</v>
      </c>
      <c r="R19">
        <v>2023</v>
      </c>
      <c r="X19" t="str">
        <f t="shared" ca="1" si="3"/>
        <v/>
      </c>
    </row>
    <row r="20" spans="1:24" x14ac:dyDescent="0.25">
      <c r="A20" t="s">
        <v>60</v>
      </c>
      <c r="B20" t="s">
        <v>61</v>
      </c>
      <c r="C20" t="s">
        <v>28</v>
      </c>
      <c r="D20" t="s">
        <v>62</v>
      </c>
      <c r="E20" s="1">
        <v>44961</v>
      </c>
      <c r="F20" t="s">
        <v>14</v>
      </c>
      <c r="G20">
        <v>3188</v>
      </c>
      <c r="H20">
        <v>9735</v>
      </c>
      <c r="I20">
        <v>3.54</v>
      </c>
      <c r="J20">
        <v>67</v>
      </c>
      <c r="M20">
        <f t="shared" ca="1" si="0"/>
        <v>888</v>
      </c>
      <c r="N20" s="3" t="str" cm="1">
        <f t="array" ref="N20">_xlfn.IFS(I20&gt;=3.5,"Excellent",I20&gt;=3,"Good",I20&gt;=2,"Average",I20&lt;2,"Poor")</f>
        <v>Excellent</v>
      </c>
      <c r="P20" t="str">
        <f t="shared" si="1"/>
        <v>True</v>
      </c>
      <c r="Q20">
        <f t="shared" si="2"/>
        <v>777918</v>
      </c>
      <c r="R20">
        <v>2023</v>
      </c>
      <c r="X20" t="str">
        <f t="shared" ca="1" si="3"/>
        <v/>
      </c>
    </row>
    <row r="21" spans="1:24" x14ac:dyDescent="0.25">
      <c r="A21" t="s">
        <v>63</v>
      </c>
      <c r="B21" t="s">
        <v>64</v>
      </c>
      <c r="C21" t="s">
        <v>54</v>
      </c>
      <c r="D21" t="s">
        <v>31</v>
      </c>
      <c r="E21" s="1">
        <v>44772</v>
      </c>
      <c r="F21" t="s">
        <v>19</v>
      </c>
      <c r="G21">
        <v>6258</v>
      </c>
      <c r="H21">
        <v>9965</v>
      </c>
      <c r="I21">
        <v>2.48</v>
      </c>
      <c r="J21">
        <v>100</v>
      </c>
      <c r="M21" t="str">
        <f t="shared" ca="1" si="0"/>
        <v/>
      </c>
      <c r="N21" s="3" t="str" cm="1">
        <f t="array" ref="N21">_xlfn.IFS(I21&gt;=3.5,"Excellent",I21&gt;=3,"Good",I21&gt;=2,"Average",I21&lt;2,"Poor")</f>
        <v>Average</v>
      </c>
      <c r="P21" t="str">
        <f t="shared" si="1"/>
        <v>True</v>
      </c>
      <c r="Q21">
        <f t="shared" si="2"/>
        <v>777918</v>
      </c>
      <c r="R21">
        <v>2022</v>
      </c>
      <c r="X21">
        <f t="shared" ca="1" si="3"/>
        <v>1077</v>
      </c>
    </row>
    <row r="22" spans="1:24" x14ac:dyDescent="0.25">
      <c r="A22" t="s">
        <v>65</v>
      </c>
      <c r="B22" t="s">
        <v>66</v>
      </c>
      <c r="C22" t="s">
        <v>25</v>
      </c>
      <c r="D22" t="s">
        <v>18</v>
      </c>
      <c r="E22" s="1">
        <v>45166</v>
      </c>
      <c r="F22" t="s">
        <v>14</v>
      </c>
      <c r="G22">
        <v>12607</v>
      </c>
      <c r="H22">
        <v>4963</v>
      </c>
      <c r="I22">
        <v>2.86</v>
      </c>
      <c r="J22">
        <v>25</v>
      </c>
      <c r="M22">
        <f t="shared" ca="1" si="0"/>
        <v>683</v>
      </c>
      <c r="N22" s="3" t="str" cm="1">
        <f t="array" ref="N22">_xlfn.IFS(I22&gt;=3.5,"Excellent",I22&gt;=3,"Good",I22&gt;=2,"Average",I22&lt;2,"Poor")</f>
        <v>Average</v>
      </c>
      <c r="P22" t="str">
        <f t="shared" si="1"/>
        <v/>
      </c>
      <c r="Q22">
        <f t="shared" si="2"/>
        <v>777918</v>
      </c>
      <c r="R22">
        <v>2023</v>
      </c>
      <c r="X22" t="str">
        <f t="shared" ca="1" si="3"/>
        <v/>
      </c>
    </row>
    <row r="23" spans="1:24" x14ac:dyDescent="0.25">
      <c r="A23" t="s">
        <v>67</v>
      </c>
      <c r="B23" t="s">
        <v>68</v>
      </c>
      <c r="C23" t="s">
        <v>25</v>
      </c>
      <c r="D23" t="s">
        <v>31</v>
      </c>
      <c r="E23" s="1">
        <v>45004</v>
      </c>
      <c r="F23" t="s">
        <v>14</v>
      </c>
      <c r="G23">
        <v>9303</v>
      </c>
      <c r="H23">
        <v>9181</v>
      </c>
      <c r="I23">
        <v>2.12</v>
      </c>
      <c r="J23">
        <v>119</v>
      </c>
      <c r="M23">
        <f t="shared" ca="1" si="0"/>
        <v>845</v>
      </c>
      <c r="N23" s="3" t="str" cm="1">
        <f t="array" ref="N23">_xlfn.IFS(I23&gt;=3.5,"Excellent",I23&gt;=3,"Good",I23&gt;=2,"Average",I23&lt;2,"Poor")</f>
        <v>Average</v>
      </c>
      <c r="P23" t="str">
        <f t="shared" si="1"/>
        <v>True</v>
      </c>
      <c r="Q23">
        <f t="shared" si="2"/>
        <v>777918</v>
      </c>
      <c r="R23">
        <v>2023</v>
      </c>
      <c r="X23" t="str">
        <f t="shared" ca="1" si="3"/>
        <v/>
      </c>
    </row>
    <row r="24" spans="1:24" x14ac:dyDescent="0.25">
      <c r="A24" t="s">
        <v>69</v>
      </c>
      <c r="B24" t="s">
        <v>70</v>
      </c>
      <c r="C24" t="s">
        <v>36</v>
      </c>
      <c r="D24" t="s">
        <v>13</v>
      </c>
      <c r="E24" s="1">
        <v>44932</v>
      </c>
      <c r="F24" t="s">
        <v>19</v>
      </c>
      <c r="G24">
        <v>2797</v>
      </c>
      <c r="H24">
        <v>6036</v>
      </c>
      <c r="I24">
        <v>2.36</v>
      </c>
      <c r="J24">
        <v>14</v>
      </c>
      <c r="M24" t="str">
        <f t="shared" ca="1" si="0"/>
        <v/>
      </c>
      <c r="N24" s="3" t="str" cm="1">
        <f t="array" ref="N24">_xlfn.IFS(I24&gt;=3.5,"Excellent",I24&gt;=3,"Good",I24&gt;=2,"Average",I24&lt;2,"Poor")</f>
        <v>Average</v>
      </c>
      <c r="P24" t="str">
        <f t="shared" si="1"/>
        <v>True</v>
      </c>
      <c r="Q24">
        <f t="shared" si="2"/>
        <v>777918</v>
      </c>
      <c r="R24">
        <v>2023</v>
      </c>
      <c r="X24">
        <f t="shared" ca="1" si="3"/>
        <v>917</v>
      </c>
    </row>
    <row r="25" spans="1:24" x14ac:dyDescent="0.25">
      <c r="A25" t="s">
        <v>71</v>
      </c>
      <c r="B25" t="s">
        <v>72</v>
      </c>
      <c r="C25" t="s">
        <v>12</v>
      </c>
      <c r="D25" t="s">
        <v>31</v>
      </c>
      <c r="E25" s="1">
        <v>45083</v>
      </c>
      <c r="F25" t="s">
        <v>19</v>
      </c>
      <c r="G25">
        <v>6057</v>
      </c>
      <c r="H25">
        <v>7133</v>
      </c>
      <c r="I25">
        <v>2.57</v>
      </c>
      <c r="J25">
        <v>93</v>
      </c>
      <c r="M25" t="str">
        <f t="shared" ca="1" si="0"/>
        <v/>
      </c>
      <c r="N25" s="3" t="str" cm="1">
        <f t="array" ref="N25">_xlfn.IFS(I25&gt;=3.5,"Excellent",I25&gt;=3,"Good",I25&gt;=2,"Average",I25&lt;2,"Poor")</f>
        <v>Average</v>
      </c>
      <c r="P25" t="str">
        <f t="shared" si="1"/>
        <v>True</v>
      </c>
      <c r="Q25">
        <f t="shared" si="2"/>
        <v>777918</v>
      </c>
      <c r="R25">
        <v>2023</v>
      </c>
      <c r="X25">
        <f t="shared" ca="1" si="3"/>
        <v>766</v>
      </c>
    </row>
    <row r="26" spans="1:24" x14ac:dyDescent="0.25">
      <c r="A26" t="s">
        <v>73</v>
      </c>
      <c r="B26" t="s">
        <v>74</v>
      </c>
      <c r="C26" t="s">
        <v>57</v>
      </c>
      <c r="D26" t="s">
        <v>31</v>
      </c>
      <c r="E26" s="1">
        <v>44564</v>
      </c>
      <c r="F26" t="s">
        <v>19</v>
      </c>
      <c r="G26">
        <v>8791</v>
      </c>
      <c r="H26">
        <v>7232</v>
      </c>
      <c r="I26">
        <v>3.2</v>
      </c>
      <c r="J26">
        <v>14</v>
      </c>
      <c r="M26" t="str">
        <f t="shared" ca="1" si="0"/>
        <v/>
      </c>
      <c r="N26" s="3" t="str" cm="1">
        <f t="array" ref="N26">_xlfn.IFS(I26&gt;=3.5,"Excellent",I26&gt;=3,"Good",I26&gt;=2,"Average",I26&lt;2,"Poor")</f>
        <v>Good</v>
      </c>
      <c r="P26" t="str">
        <f t="shared" si="1"/>
        <v>True</v>
      </c>
      <c r="Q26">
        <f t="shared" si="2"/>
        <v>777918</v>
      </c>
      <c r="R26">
        <v>2022</v>
      </c>
      <c r="X26">
        <f t="shared" ca="1" si="3"/>
        <v>1285</v>
      </c>
    </row>
    <row r="27" spans="1:24" x14ac:dyDescent="0.25">
      <c r="A27" t="s">
        <v>75</v>
      </c>
      <c r="B27" t="s">
        <v>76</v>
      </c>
      <c r="C27" t="s">
        <v>22</v>
      </c>
      <c r="D27" t="s">
        <v>62</v>
      </c>
      <c r="E27" s="1">
        <v>45447</v>
      </c>
      <c r="F27" t="s">
        <v>14</v>
      </c>
      <c r="G27">
        <v>6655</v>
      </c>
      <c r="H27">
        <v>6637</v>
      </c>
      <c r="I27">
        <v>3.15</v>
      </c>
      <c r="J27">
        <v>43</v>
      </c>
      <c r="M27">
        <f t="shared" ca="1" si="0"/>
        <v>402</v>
      </c>
      <c r="N27" s="3" t="str" cm="1">
        <f t="array" ref="N27">_xlfn.IFS(I27&gt;=3.5,"Excellent",I27&gt;=3,"Good",I27&gt;=2,"Average",I27&lt;2,"Poor")</f>
        <v>Good</v>
      </c>
      <c r="P27" t="str">
        <f t="shared" si="1"/>
        <v>True</v>
      </c>
      <c r="Q27">
        <f t="shared" si="2"/>
        <v>777918</v>
      </c>
      <c r="R27">
        <v>2024</v>
      </c>
      <c r="X27" t="str">
        <f t="shared" ca="1" si="3"/>
        <v/>
      </c>
    </row>
    <row r="28" spans="1:24" x14ac:dyDescent="0.25">
      <c r="A28" t="s">
        <v>77</v>
      </c>
      <c r="B28" t="s">
        <v>78</v>
      </c>
      <c r="C28" t="s">
        <v>12</v>
      </c>
      <c r="D28" t="s">
        <v>31</v>
      </c>
      <c r="E28" s="1">
        <v>45092</v>
      </c>
      <c r="F28" t="s">
        <v>19</v>
      </c>
      <c r="G28">
        <v>5008</v>
      </c>
      <c r="H28">
        <v>907</v>
      </c>
      <c r="I28">
        <v>3.83</v>
      </c>
      <c r="J28">
        <v>96</v>
      </c>
      <c r="M28" t="str">
        <f t="shared" ca="1" si="0"/>
        <v/>
      </c>
      <c r="N28" s="3" t="str" cm="1">
        <f t="array" ref="N28">_xlfn.IFS(I28&gt;=3.5,"Excellent",I28&gt;=3,"Good",I28&gt;=2,"Average",I28&lt;2,"Poor")</f>
        <v>Excellent</v>
      </c>
      <c r="P28" t="str">
        <f t="shared" si="1"/>
        <v/>
      </c>
      <c r="Q28">
        <f t="shared" si="2"/>
        <v>777918</v>
      </c>
      <c r="R28">
        <v>2023</v>
      </c>
      <c r="X28">
        <f t="shared" ca="1" si="3"/>
        <v>757</v>
      </c>
    </row>
    <row r="29" spans="1:24" x14ac:dyDescent="0.25">
      <c r="A29" t="s">
        <v>79</v>
      </c>
      <c r="B29" t="s">
        <v>80</v>
      </c>
      <c r="C29" t="s">
        <v>36</v>
      </c>
      <c r="D29" t="s">
        <v>18</v>
      </c>
      <c r="E29" s="1">
        <v>44737</v>
      </c>
      <c r="F29" t="s">
        <v>14</v>
      </c>
      <c r="G29">
        <v>13997</v>
      </c>
      <c r="H29">
        <v>2778</v>
      </c>
      <c r="I29">
        <v>3.22</v>
      </c>
      <c r="J29">
        <v>87</v>
      </c>
      <c r="M29">
        <f t="shared" ca="1" si="0"/>
        <v>1112</v>
      </c>
      <c r="N29" s="3" t="str" cm="1">
        <f t="array" ref="N29">_xlfn.IFS(I29&gt;=3.5,"Excellent",I29&gt;=3,"Good",I29&gt;=2,"Average",I29&lt;2,"Poor")</f>
        <v>Good</v>
      </c>
      <c r="P29" t="str">
        <f t="shared" si="1"/>
        <v/>
      </c>
      <c r="Q29">
        <f t="shared" si="2"/>
        <v>777918</v>
      </c>
      <c r="R29">
        <v>2022</v>
      </c>
      <c r="X29" t="str">
        <f t="shared" ca="1" si="3"/>
        <v/>
      </c>
    </row>
    <row r="30" spans="1:24" x14ac:dyDescent="0.25">
      <c r="A30" t="s">
        <v>81</v>
      </c>
      <c r="B30" t="s">
        <v>82</v>
      </c>
      <c r="C30" t="s">
        <v>22</v>
      </c>
      <c r="D30" t="s">
        <v>62</v>
      </c>
      <c r="E30" s="1">
        <v>45086</v>
      </c>
      <c r="F30" t="s">
        <v>14</v>
      </c>
      <c r="G30">
        <v>4627</v>
      </c>
      <c r="H30">
        <v>5935</v>
      </c>
      <c r="I30">
        <v>2.29</v>
      </c>
      <c r="J30">
        <v>118</v>
      </c>
      <c r="M30">
        <f t="shared" ca="1" si="0"/>
        <v>763</v>
      </c>
      <c r="N30" s="3" t="str" cm="1">
        <f t="array" ref="N30">_xlfn.IFS(I30&gt;=3.5,"Excellent",I30&gt;=3,"Good",I30&gt;=2,"Average",I30&lt;2,"Poor")</f>
        <v>Average</v>
      </c>
      <c r="P30" t="str">
        <f t="shared" si="1"/>
        <v>True</v>
      </c>
      <c r="Q30">
        <f t="shared" si="2"/>
        <v>777918</v>
      </c>
      <c r="R30">
        <v>2023</v>
      </c>
      <c r="X30" t="str">
        <f t="shared" ca="1" si="3"/>
        <v/>
      </c>
    </row>
    <row r="31" spans="1:24" x14ac:dyDescent="0.25">
      <c r="A31" t="s">
        <v>83</v>
      </c>
      <c r="B31" t="s">
        <v>84</v>
      </c>
      <c r="C31" t="s">
        <v>12</v>
      </c>
      <c r="D31" t="s">
        <v>18</v>
      </c>
      <c r="E31" s="1">
        <v>45387</v>
      </c>
      <c r="F31" t="s">
        <v>19</v>
      </c>
      <c r="G31">
        <v>6711</v>
      </c>
      <c r="H31">
        <v>9649</v>
      </c>
      <c r="I31">
        <v>3.2</v>
      </c>
      <c r="J31">
        <v>54</v>
      </c>
      <c r="M31" t="str">
        <f t="shared" ca="1" si="0"/>
        <v/>
      </c>
      <c r="N31" s="3" t="str" cm="1">
        <f t="array" ref="N31">_xlfn.IFS(I31&gt;=3.5,"Excellent",I31&gt;=3,"Good",I31&gt;=2,"Average",I31&lt;2,"Poor")</f>
        <v>Good</v>
      </c>
      <c r="P31" t="str">
        <f t="shared" si="1"/>
        <v>True</v>
      </c>
      <c r="Q31">
        <f t="shared" si="2"/>
        <v>777918</v>
      </c>
      <c r="R31">
        <v>2024</v>
      </c>
      <c r="X31">
        <f t="shared" ca="1" si="3"/>
        <v>462</v>
      </c>
    </row>
    <row r="32" spans="1:24" x14ac:dyDescent="0.25">
      <c r="A32" t="s">
        <v>85</v>
      </c>
      <c r="B32" t="s">
        <v>86</v>
      </c>
      <c r="C32" t="s">
        <v>57</v>
      </c>
      <c r="D32" t="s">
        <v>18</v>
      </c>
      <c r="E32" s="1">
        <v>44831</v>
      </c>
      <c r="F32" t="s">
        <v>19</v>
      </c>
      <c r="G32">
        <v>2173</v>
      </c>
      <c r="H32">
        <v>5739</v>
      </c>
      <c r="I32">
        <v>3.09</v>
      </c>
      <c r="J32">
        <v>97</v>
      </c>
      <c r="M32" t="str">
        <f t="shared" ca="1" si="0"/>
        <v/>
      </c>
      <c r="N32" s="3" t="str" cm="1">
        <f t="array" ref="N32">_xlfn.IFS(I32&gt;=3.5,"Excellent",I32&gt;=3,"Good",I32&gt;=2,"Average",I32&lt;2,"Poor")</f>
        <v>Good</v>
      </c>
      <c r="P32" t="str">
        <f t="shared" si="1"/>
        <v>True</v>
      </c>
      <c r="Q32">
        <f t="shared" si="2"/>
        <v>771207</v>
      </c>
      <c r="R32">
        <v>2022</v>
      </c>
      <c r="X32">
        <f t="shared" ca="1" si="3"/>
        <v>1018</v>
      </c>
    </row>
    <row r="33" spans="1:24" x14ac:dyDescent="0.25">
      <c r="A33" t="s">
        <v>87</v>
      </c>
      <c r="B33" t="s">
        <v>88</v>
      </c>
      <c r="C33" t="s">
        <v>57</v>
      </c>
      <c r="D33" t="s">
        <v>62</v>
      </c>
      <c r="E33" s="1">
        <v>44602</v>
      </c>
      <c r="F33" t="s">
        <v>14</v>
      </c>
      <c r="G33">
        <v>8163</v>
      </c>
      <c r="H33">
        <v>7715</v>
      </c>
      <c r="I33">
        <v>2.2799999999999998</v>
      </c>
      <c r="J33">
        <v>19</v>
      </c>
      <c r="M33">
        <f t="shared" ca="1" si="0"/>
        <v>1247</v>
      </c>
      <c r="N33" s="3" t="str" cm="1">
        <f t="array" ref="N33">_xlfn.IFS(I33&gt;=3.5,"Excellent",I33&gt;=3,"Good",I33&gt;=2,"Average",I33&lt;2,"Poor")</f>
        <v>Average</v>
      </c>
      <c r="P33" t="str">
        <f t="shared" si="1"/>
        <v>True</v>
      </c>
      <c r="Q33">
        <f t="shared" si="2"/>
        <v>769034</v>
      </c>
      <c r="R33">
        <v>2022</v>
      </c>
      <c r="X33" t="str">
        <f t="shared" ca="1" si="3"/>
        <v/>
      </c>
    </row>
    <row r="34" spans="1:24" x14ac:dyDescent="0.25">
      <c r="A34" t="s">
        <v>89</v>
      </c>
      <c r="B34" t="s">
        <v>90</v>
      </c>
      <c r="C34" t="s">
        <v>28</v>
      </c>
      <c r="D34" t="s">
        <v>13</v>
      </c>
      <c r="E34" s="1">
        <v>44562</v>
      </c>
      <c r="F34" t="s">
        <v>14</v>
      </c>
      <c r="G34">
        <v>14774</v>
      </c>
      <c r="H34">
        <v>1884</v>
      </c>
      <c r="I34">
        <v>2.78</v>
      </c>
      <c r="J34">
        <v>9</v>
      </c>
      <c r="M34">
        <f t="shared" ca="1" si="0"/>
        <v>1287</v>
      </c>
      <c r="N34" s="3" t="str" cm="1">
        <f t="array" ref="N34">_xlfn.IFS(I34&gt;=3.5,"Excellent",I34&gt;=3,"Good",I34&gt;=2,"Average",I34&lt;2,"Poor")</f>
        <v>Average</v>
      </c>
      <c r="P34" t="str">
        <f t="shared" si="1"/>
        <v/>
      </c>
      <c r="Q34">
        <f t="shared" si="2"/>
        <v>769034</v>
      </c>
      <c r="R34">
        <v>2022</v>
      </c>
      <c r="X34" t="str">
        <f t="shared" ca="1" si="3"/>
        <v/>
      </c>
    </row>
    <row r="35" spans="1:24" x14ac:dyDescent="0.25">
      <c r="A35" t="s">
        <v>91</v>
      </c>
      <c r="B35" t="s">
        <v>92</v>
      </c>
      <c r="C35" t="s">
        <v>57</v>
      </c>
      <c r="D35" t="s">
        <v>31</v>
      </c>
      <c r="E35" s="1">
        <v>45091</v>
      </c>
      <c r="F35" t="s">
        <v>19</v>
      </c>
      <c r="G35">
        <v>7783</v>
      </c>
      <c r="H35">
        <v>3240</v>
      </c>
      <c r="I35">
        <v>2.82</v>
      </c>
      <c r="J35">
        <v>115</v>
      </c>
      <c r="M35" t="str">
        <f t="shared" ca="1" si="0"/>
        <v/>
      </c>
      <c r="N35" s="3" t="str" cm="1">
        <f t="array" ref="N35">_xlfn.IFS(I35&gt;=3.5,"Excellent",I35&gt;=3,"Good",I35&gt;=2,"Average",I35&lt;2,"Poor")</f>
        <v>Average</v>
      </c>
      <c r="P35" t="str">
        <f t="shared" si="1"/>
        <v/>
      </c>
      <c r="Q35">
        <f t="shared" si="2"/>
        <v>769034</v>
      </c>
      <c r="R35">
        <v>2023</v>
      </c>
      <c r="X35">
        <f t="shared" ca="1" si="3"/>
        <v>758</v>
      </c>
    </row>
    <row r="36" spans="1:24" x14ac:dyDescent="0.25">
      <c r="A36" t="s">
        <v>93</v>
      </c>
      <c r="B36" t="s">
        <v>94</v>
      </c>
      <c r="C36" t="s">
        <v>25</v>
      </c>
      <c r="D36" t="s">
        <v>31</v>
      </c>
      <c r="E36" s="1">
        <v>44650</v>
      </c>
      <c r="F36" t="s">
        <v>19</v>
      </c>
      <c r="G36">
        <v>14442</v>
      </c>
      <c r="H36">
        <v>7220</v>
      </c>
      <c r="I36">
        <v>2.76</v>
      </c>
      <c r="J36">
        <v>109</v>
      </c>
      <c r="M36" t="str">
        <f t="shared" ca="1" si="0"/>
        <v/>
      </c>
      <c r="N36" s="3" t="str" cm="1">
        <f t="array" ref="N36">_xlfn.IFS(I36&gt;=3.5,"Excellent",I36&gt;=3,"Good",I36&gt;=2,"Average",I36&lt;2,"Poor")</f>
        <v>Average</v>
      </c>
      <c r="P36" t="str">
        <f t="shared" si="1"/>
        <v/>
      </c>
      <c r="Q36">
        <f t="shared" si="2"/>
        <v>769034</v>
      </c>
      <c r="R36">
        <v>2022</v>
      </c>
      <c r="X36">
        <f t="shared" ca="1" si="3"/>
        <v>1199</v>
      </c>
    </row>
    <row r="37" spans="1:24" x14ac:dyDescent="0.25">
      <c r="A37" t="s">
        <v>95</v>
      </c>
      <c r="B37" t="s">
        <v>96</v>
      </c>
      <c r="C37" t="s">
        <v>54</v>
      </c>
      <c r="D37" t="s">
        <v>18</v>
      </c>
      <c r="E37" s="1">
        <v>45053</v>
      </c>
      <c r="F37" t="s">
        <v>14</v>
      </c>
      <c r="G37">
        <v>4770</v>
      </c>
      <c r="H37">
        <v>945</v>
      </c>
      <c r="I37">
        <v>2.75</v>
      </c>
      <c r="J37">
        <v>38</v>
      </c>
      <c r="M37">
        <f t="shared" ca="1" si="0"/>
        <v>796</v>
      </c>
      <c r="N37" s="3" t="str" cm="1">
        <f t="array" ref="N37">_xlfn.IFS(I37&gt;=3.5,"Excellent",I37&gt;=3,"Good",I37&gt;=2,"Average",I37&lt;2,"Poor")</f>
        <v>Average</v>
      </c>
      <c r="P37" t="str">
        <f t="shared" si="1"/>
        <v/>
      </c>
      <c r="Q37">
        <f t="shared" si="2"/>
        <v>769034</v>
      </c>
      <c r="R37">
        <v>2023</v>
      </c>
      <c r="X37" t="str">
        <f t="shared" ca="1" si="3"/>
        <v/>
      </c>
    </row>
    <row r="38" spans="1:24" x14ac:dyDescent="0.25">
      <c r="A38" t="s">
        <v>97</v>
      </c>
      <c r="B38" t="s">
        <v>98</v>
      </c>
      <c r="C38" t="s">
        <v>17</v>
      </c>
      <c r="D38" t="s">
        <v>13</v>
      </c>
      <c r="E38" s="1">
        <v>45328</v>
      </c>
      <c r="F38" t="s">
        <v>19</v>
      </c>
      <c r="G38">
        <v>14761</v>
      </c>
      <c r="H38">
        <v>4478</v>
      </c>
      <c r="I38">
        <v>2.65</v>
      </c>
      <c r="J38">
        <v>2</v>
      </c>
      <c r="M38" t="str">
        <f t="shared" ca="1" si="0"/>
        <v/>
      </c>
      <c r="N38" s="3" t="str" cm="1">
        <f t="array" ref="N38">_xlfn.IFS(I38&gt;=3.5,"Excellent",I38&gt;=3,"Good",I38&gt;=2,"Average",I38&lt;2,"Poor")</f>
        <v>Average</v>
      </c>
      <c r="P38" t="str">
        <f t="shared" si="1"/>
        <v/>
      </c>
      <c r="Q38">
        <f t="shared" si="2"/>
        <v>769034</v>
      </c>
      <c r="R38">
        <v>2024</v>
      </c>
      <c r="X38">
        <f t="shared" ca="1" si="3"/>
        <v>521</v>
      </c>
    </row>
    <row r="39" spans="1:24" x14ac:dyDescent="0.25">
      <c r="A39" t="s">
        <v>99</v>
      </c>
      <c r="B39" t="s">
        <v>100</v>
      </c>
      <c r="C39" t="s">
        <v>57</v>
      </c>
      <c r="D39" t="s">
        <v>18</v>
      </c>
      <c r="E39" s="1">
        <v>44619</v>
      </c>
      <c r="F39" t="s">
        <v>19</v>
      </c>
      <c r="G39">
        <v>14013</v>
      </c>
      <c r="H39">
        <v>9022</v>
      </c>
      <c r="I39">
        <v>2.13</v>
      </c>
      <c r="J39">
        <v>10</v>
      </c>
      <c r="M39" t="str">
        <f t="shared" ca="1" si="0"/>
        <v/>
      </c>
      <c r="N39" s="3" t="str" cm="1">
        <f t="array" ref="N39">_xlfn.IFS(I39&gt;=3.5,"Excellent",I39&gt;=3,"Good",I39&gt;=2,"Average",I39&lt;2,"Poor")</f>
        <v>Average</v>
      </c>
      <c r="P39" t="str">
        <f t="shared" si="1"/>
        <v>True</v>
      </c>
      <c r="Q39">
        <f t="shared" si="2"/>
        <v>769034</v>
      </c>
      <c r="R39">
        <v>2022</v>
      </c>
      <c r="X39">
        <f t="shared" ca="1" si="3"/>
        <v>1230</v>
      </c>
    </row>
    <row r="40" spans="1:24" x14ac:dyDescent="0.25">
      <c r="A40" t="s">
        <v>101</v>
      </c>
      <c r="B40" t="s">
        <v>102</v>
      </c>
      <c r="C40" t="s">
        <v>25</v>
      </c>
      <c r="D40" t="s">
        <v>62</v>
      </c>
      <c r="E40" s="1">
        <v>45379</v>
      </c>
      <c r="F40" t="s">
        <v>19</v>
      </c>
      <c r="G40">
        <v>8345</v>
      </c>
      <c r="H40">
        <v>5347</v>
      </c>
      <c r="I40">
        <v>3.8</v>
      </c>
      <c r="J40">
        <v>53</v>
      </c>
      <c r="M40" t="str">
        <f t="shared" ca="1" si="0"/>
        <v/>
      </c>
      <c r="N40" s="3" t="str" cm="1">
        <f t="array" ref="N40">_xlfn.IFS(I40&gt;=3.5,"Excellent",I40&gt;=3,"Good",I40&gt;=2,"Average",I40&lt;2,"Poor")</f>
        <v>Excellent</v>
      </c>
      <c r="P40" t="str">
        <f t="shared" si="1"/>
        <v>True</v>
      </c>
      <c r="Q40">
        <f t="shared" si="2"/>
        <v>755021</v>
      </c>
      <c r="R40">
        <v>2024</v>
      </c>
      <c r="X40">
        <f t="shared" ca="1" si="3"/>
        <v>470</v>
      </c>
    </row>
    <row r="41" spans="1:24" x14ac:dyDescent="0.25">
      <c r="A41" t="s">
        <v>103</v>
      </c>
      <c r="B41" t="s">
        <v>104</v>
      </c>
      <c r="C41" t="s">
        <v>17</v>
      </c>
      <c r="D41" t="s">
        <v>18</v>
      </c>
      <c r="E41" s="1">
        <v>44883</v>
      </c>
      <c r="F41" t="s">
        <v>14</v>
      </c>
      <c r="G41">
        <v>10449</v>
      </c>
      <c r="H41">
        <v>4324</v>
      </c>
      <c r="I41">
        <v>3.08</v>
      </c>
      <c r="J41">
        <v>2</v>
      </c>
      <c r="M41">
        <f t="shared" ca="1" si="0"/>
        <v>966</v>
      </c>
      <c r="N41" s="3" t="str" cm="1">
        <f t="array" ref="N41">_xlfn.IFS(I41&gt;=3.5,"Excellent",I41&gt;=3,"Good",I41&gt;=2,"Average",I41&lt;2,"Poor")</f>
        <v>Good</v>
      </c>
      <c r="P41" t="str">
        <f t="shared" si="1"/>
        <v/>
      </c>
      <c r="Q41">
        <f t="shared" si="2"/>
        <v>755021</v>
      </c>
      <c r="R41">
        <v>2022</v>
      </c>
      <c r="X41" t="str">
        <f t="shared" ca="1" si="3"/>
        <v/>
      </c>
    </row>
    <row r="42" spans="1:24" x14ac:dyDescent="0.25">
      <c r="A42" t="s">
        <v>105</v>
      </c>
      <c r="B42" t="s">
        <v>106</v>
      </c>
      <c r="C42" t="s">
        <v>36</v>
      </c>
      <c r="D42" t="s">
        <v>31</v>
      </c>
      <c r="E42" s="1">
        <v>44979</v>
      </c>
      <c r="F42" t="s">
        <v>14</v>
      </c>
      <c r="G42">
        <v>14303</v>
      </c>
      <c r="H42">
        <v>4160</v>
      </c>
      <c r="I42">
        <v>2.39</v>
      </c>
      <c r="J42">
        <v>42</v>
      </c>
      <c r="M42">
        <f t="shared" ca="1" si="0"/>
        <v>870</v>
      </c>
      <c r="N42" s="3" t="str" cm="1">
        <f t="array" ref="N42">_xlfn.IFS(I42&gt;=3.5,"Excellent",I42&gt;=3,"Good",I42&gt;=2,"Average",I42&lt;2,"Poor")</f>
        <v>Average</v>
      </c>
      <c r="P42" t="str">
        <f t="shared" si="1"/>
        <v/>
      </c>
      <c r="Q42">
        <f t="shared" si="2"/>
        <v>755021</v>
      </c>
      <c r="R42">
        <v>2023</v>
      </c>
      <c r="X42" t="str">
        <f t="shared" ca="1" si="3"/>
        <v/>
      </c>
    </row>
    <row r="43" spans="1:24" x14ac:dyDescent="0.25">
      <c r="A43" t="s">
        <v>107</v>
      </c>
      <c r="B43" t="s">
        <v>108</v>
      </c>
      <c r="C43" t="s">
        <v>54</v>
      </c>
      <c r="D43" t="s">
        <v>18</v>
      </c>
      <c r="E43" s="1">
        <v>44577</v>
      </c>
      <c r="F43" t="s">
        <v>14</v>
      </c>
      <c r="G43">
        <v>5900</v>
      </c>
      <c r="H43">
        <v>9481</v>
      </c>
      <c r="I43">
        <v>3.17</v>
      </c>
      <c r="J43">
        <v>15</v>
      </c>
      <c r="M43">
        <f t="shared" ca="1" si="0"/>
        <v>1272</v>
      </c>
      <c r="N43" s="3" t="str" cm="1">
        <f t="array" ref="N43">_xlfn.IFS(I43&gt;=3.5,"Excellent",I43&gt;=3,"Good",I43&gt;=2,"Average",I43&lt;2,"Poor")</f>
        <v>Good</v>
      </c>
      <c r="P43" t="str">
        <f t="shared" si="1"/>
        <v>True</v>
      </c>
      <c r="Q43">
        <f t="shared" si="2"/>
        <v>755021</v>
      </c>
      <c r="R43">
        <v>2022</v>
      </c>
      <c r="X43" t="str">
        <f t="shared" ca="1" si="3"/>
        <v/>
      </c>
    </row>
    <row r="44" spans="1:24" x14ac:dyDescent="0.25">
      <c r="A44" t="s">
        <v>109</v>
      </c>
      <c r="B44" t="s">
        <v>110</v>
      </c>
      <c r="C44" t="s">
        <v>36</v>
      </c>
      <c r="D44" t="s">
        <v>18</v>
      </c>
      <c r="E44" s="1">
        <v>44915</v>
      </c>
      <c r="F44" t="s">
        <v>19</v>
      </c>
      <c r="G44">
        <v>6128</v>
      </c>
      <c r="H44">
        <v>7957</v>
      </c>
      <c r="I44">
        <v>2.2799999999999998</v>
      </c>
      <c r="J44">
        <v>115</v>
      </c>
      <c r="M44" t="str">
        <f t="shared" ca="1" si="0"/>
        <v/>
      </c>
      <c r="N44" s="3" t="str" cm="1">
        <f t="array" ref="N44">_xlfn.IFS(I44&gt;=3.5,"Excellent",I44&gt;=3,"Good",I44&gt;=2,"Average",I44&lt;2,"Poor")</f>
        <v>Average</v>
      </c>
      <c r="P44" t="str">
        <f t="shared" si="1"/>
        <v>True</v>
      </c>
      <c r="Q44">
        <f t="shared" si="2"/>
        <v>755021</v>
      </c>
      <c r="R44">
        <v>2022</v>
      </c>
      <c r="X44">
        <f t="shared" ca="1" si="3"/>
        <v>934</v>
      </c>
    </row>
    <row r="45" spans="1:24" x14ac:dyDescent="0.25">
      <c r="A45" t="s">
        <v>111</v>
      </c>
      <c r="B45" t="s">
        <v>112</v>
      </c>
      <c r="C45" t="s">
        <v>36</v>
      </c>
      <c r="D45" t="s">
        <v>13</v>
      </c>
      <c r="E45" s="1">
        <v>44997</v>
      </c>
      <c r="F45" t="s">
        <v>14</v>
      </c>
      <c r="G45">
        <v>10731</v>
      </c>
      <c r="H45">
        <v>8324</v>
      </c>
      <c r="I45">
        <v>3.2</v>
      </c>
      <c r="J45">
        <v>13</v>
      </c>
      <c r="M45">
        <f t="shared" ca="1" si="0"/>
        <v>852</v>
      </c>
      <c r="N45" s="3" t="str" cm="1">
        <f t="array" ref="N45">_xlfn.IFS(I45&gt;=3.5,"Excellent",I45&gt;=3,"Good",I45&gt;=2,"Average",I45&lt;2,"Poor")</f>
        <v>Good</v>
      </c>
      <c r="P45" t="str">
        <f t="shared" si="1"/>
        <v>True</v>
      </c>
      <c r="Q45">
        <f t="shared" si="2"/>
        <v>748893</v>
      </c>
      <c r="R45">
        <v>2023</v>
      </c>
      <c r="X45" t="str">
        <f t="shared" ca="1" si="3"/>
        <v/>
      </c>
    </row>
    <row r="46" spans="1:24" x14ac:dyDescent="0.25">
      <c r="A46" t="s">
        <v>113</v>
      </c>
      <c r="B46" t="s">
        <v>114</v>
      </c>
      <c r="C46" t="s">
        <v>54</v>
      </c>
      <c r="D46" t="s">
        <v>31</v>
      </c>
      <c r="E46" s="1">
        <v>44649</v>
      </c>
      <c r="F46" t="s">
        <v>14</v>
      </c>
      <c r="G46">
        <v>12461</v>
      </c>
      <c r="H46">
        <v>5874</v>
      </c>
      <c r="I46">
        <v>2.31</v>
      </c>
      <c r="J46">
        <v>114</v>
      </c>
      <c r="M46">
        <f t="shared" ca="1" si="0"/>
        <v>1200</v>
      </c>
      <c r="N46" s="3" t="str" cm="1">
        <f t="array" ref="N46">_xlfn.IFS(I46&gt;=3.5,"Excellent",I46&gt;=3,"Good",I46&gt;=2,"Average",I46&lt;2,"Poor")</f>
        <v>Average</v>
      </c>
      <c r="P46" t="str">
        <f t="shared" si="1"/>
        <v/>
      </c>
      <c r="Q46">
        <f t="shared" si="2"/>
        <v>748893</v>
      </c>
      <c r="R46">
        <v>2022</v>
      </c>
      <c r="X46" t="str">
        <f t="shared" ca="1" si="3"/>
        <v/>
      </c>
    </row>
    <row r="47" spans="1:24" x14ac:dyDescent="0.25">
      <c r="A47" t="s">
        <v>115</v>
      </c>
      <c r="B47" t="s">
        <v>116</v>
      </c>
      <c r="C47" t="s">
        <v>36</v>
      </c>
      <c r="D47" t="s">
        <v>13</v>
      </c>
      <c r="E47" s="1">
        <v>45160</v>
      </c>
      <c r="F47" t="s">
        <v>14</v>
      </c>
      <c r="G47">
        <v>13677</v>
      </c>
      <c r="H47">
        <v>7817</v>
      </c>
      <c r="I47">
        <v>3.39</v>
      </c>
      <c r="J47">
        <v>74</v>
      </c>
      <c r="M47">
        <f t="shared" ca="1" si="0"/>
        <v>689</v>
      </c>
      <c r="N47" s="3" t="str" cm="1">
        <f t="array" ref="N47">_xlfn.IFS(I47&gt;=3.5,"Excellent",I47&gt;=3,"Good",I47&gt;=2,"Average",I47&lt;2,"Poor")</f>
        <v>Good</v>
      </c>
      <c r="P47" t="str">
        <f t="shared" si="1"/>
        <v>True</v>
      </c>
      <c r="Q47">
        <f t="shared" si="2"/>
        <v>748893</v>
      </c>
      <c r="R47">
        <v>2023</v>
      </c>
      <c r="X47" t="str">
        <f t="shared" ca="1" si="3"/>
        <v/>
      </c>
    </row>
    <row r="48" spans="1:24" x14ac:dyDescent="0.25">
      <c r="A48" t="s">
        <v>117</v>
      </c>
      <c r="B48" t="s">
        <v>118</v>
      </c>
      <c r="C48" t="s">
        <v>22</v>
      </c>
      <c r="D48" t="s">
        <v>13</v>
      </c>
      <c r="E48" s="1">
        <v>45170</v>
      </c>
      <c r="F48" t="s">
        <v>14</v>
      </c>
      <c r="G48">
        <v>9276</v>
      </c>
      <c r="H48">
        <v>5837</v>
      </c>
      <c r="I48">
        <v>3.16</v>
      </c>
      <c r="J48">
        <v>92</v>
      </c>
      <c r="M48">
        <f t="shared" ca="1" si="0"/>
        <v>679</v>
      </c>
      <c r="N48" s="3" t="str" cm="1">
        <f t="array" ref="N48">_xlfn.IFS(I48&gt;=3.5,"Excellent",I48&gt;=3,"Good",I48&gt;=2,"Average",I48&lt;2,"Poor")</f>
        <v>Good</v>
      </c>
      <c r="P48" t="str">
        <f t="shared" si="1"/>
        <v>True</v>
      </c>
      <c r="Q48">
        <f t="shared" si="2"/>
        <v>748893</v>
      </c>
      <c r="R48">
        <v>2023</v>
      </c>
      <c r="X48" t="str">
        <f t="shared" ca="1" si="3"/>
        <v/>
      </c>
    </row>
    <row r="49" spans="1:24" x14ac:dyDescent="0.25">
      <c r="A49" t="s">
        <v>119</v>
      </c>
      <c r="B49" t="s">
        <v>120</v>
      </c>
      <c r="C49" t="s">
        <v>12</v>
      </c>
      <c r="D49" t="s">
        <v>18</v>
      </c>
      <c r="E49" s="1">
        <v>45182</v>
      </c>
      <c r="F49" t="s">
        <v>14</v>
      </c>
      <c r="G49">
        <v>2183</v>
      </c>
      <c r="H49">
        <v>7214</v>
      </c>
      <c r="I49">
        <v>3.33</v>
      </c>
      <c r="J49">
        <v>97</v>
      </c>
      <c r="M49">
        <f t="shared" ca="1" si="0"/>
        <v>667</v>
      </c>
      <c r="N49" s="3" t="str" cm="1">
        <f t="array" ref="N49">_xlfn.IFS(I49&gt;=3.5,"Excellent",I49&gt;=3,"Good",I49&gt;=2,"Average",I49&lt;2,"Poor")</f>
        <v>Good</v>
      </c>
      <c r="P49" t="str">
        <f t="shared" si="1"/>
        <v>True</v>
      </c>
      <c r="Q49">
        <f t="shared" si="2"/>
        <v>748893</v>
      </c>
      <c r="R49">
        <v>2023</v>
      </c>
      <c r="X49" t="str">
        <f t="shared" ca="1" si="3"/>
        <v/>
      </c>
    </row>
    <row r="50" spans="1:24" x14ac:dyDescent="0.25">
      <c r="A50" t="s">
        <v>121</v>
      </c>
      <c r="B50" t="s">
        <v>122</v>
      </c>
      <c r="C50" t="s">
        <v>22</v>
      </c>
      <c r="D50" t="s">
        <v>13</v>
      </c>
      <c r="E50" s="1">
        <v>45042</v>
      </c>
      <c r="F50" t="s">
        <v>19</v>
      </c>
      <c r="G50">
        <v>6227</v>
      </c>
      <c r="H50">
        <v>5349</v>
      </c>
      <c r="I50">
        <v>3.85</v>
      </c>
      <c r="J50">
        <v>75</v>
      </c>
      <c r="M50" t="str">
        <f t="shared" ca="1" si="0"/>
        <v/>
      </c>
      <c r="N50" s="3" t="str" cm="1">
        <f t="array" ref="N50">_xlfn.IFS(I50&gt;=3.5,"Excellent",I50&gt;=3,"Good",I50&gt;=2,"Average",I50&lt;2,"Poor")</f>
        <v>Excellent</v>
      </c>
      <c r="P50" t="str">
        <f t="shared" si="1"/>
        <v>True</v>
      </c>
      <c r="Q50">
        <f t="shared" si="2"/>
        <v>748893</v>
      </c>
      <c r="R50">
        <v>2023</v>
      </c>
      <c r="X50">
        <f t="shared" ca="1" si="3"/>
        <v>807</v>
      </c>
    </row>
    <row r="51" spans="1:24" x14ac:dyDescent="0.25">
      <c r="A51" t="s">
        <v>123</v>
      </c>
      <c r="B51" t="s">
        <v>124</v>
      </c>
      <c r="C51" t="s">
        <v>28</v>
      </c>
      <c r="D51" t="s">
        <v>13</v>
      </c>
      <c r="E51" s="1">
        <v>44599</v>
      </c>
      <c r="F51" t="s">
        <v>14</v>
      </c>
      <c r="G51">
        <v>4500</v>
      </c>
      <c r="H51">
        <v>1352</v>
      </c>
      <c r="I51">
        <v>2.91</v>
      </c>
      <c r="J51">
        <v>87</v>
      </c>
      <c r="M51">
        <f t="shared" ca="1" si="0"/>
        <v>1250</v>
      </c>
      <c r="N51" s="3" t="str" cm="1">
        <f t="array" ref="N51">_xlfn.IFS(I51&gt;=3.5,"Excellent",I51&gt;=3,"Good",I51&gt;=2,"Average",I51&lt;2,"Poor")</f>
        <v>Average</v>
      </c>
      <c r="P51" t="str">
        <f t="shared" si="1"/>
        <v/>
      </c>
      <c r="Q51">
        <f t="shared" si="2"/>
        <v>748893</v>
      </c>
      <c r="R51">
        <v>2022</v>
      </c>
      <c r="X51" t="str">
        <f t="shared" ca="1" si="3"/>
        <v/>
      </c>
    </row>
    <row r="52" spans="1:24" x14ac:dyDescent="0.25">
      <c r="A52" t="s">
        <v>125</v>
      </c>
      <c r="B52" t="s">
        <v>126</v>
      </c>
      <c r="C52" t="s">
        <v>36</v>
      </c>
      <c r="D52" t="s">
        <v>18</v>
      </c>
      <c r="E52" s="1">
        <v>45353</v>
      </c>
      <c r="F52" t="s">
        <v>14</v>
      </c>
      <c r="G52">
        <v>4615</v>
      </c>
      <c r="H52">
        <v>3667</v>
      </c>
      <c r="I52">
        <v>3.61</v>
      </c>
      <c r="J52">
        <v>41</v>
      </c>
      <c r="M52">
        <f t="shared" ca="1" si="0"/>
        <v>496</v>
      </c>
      <c r="N52" s="3" t="str" cm="1">
        <f t="array" ref="N52">_xlfn.IFS(I52&gt;=3.5,"Excellent",I52&gt;=3,"Good",I52&gt;=2,"Average",I52&lt;2,"Poor")</f>
        <v>Excellent</v>
      </c>
      <c r="P52" t="str">
        <f t="shared" si="1"/>
        <v>True</v>
      </c>
      <c r="Q52">
        <f t="shared" si="2"/>
        <v>748893</v>
      </c>
      <c r="R52">
        <v>2024</v>
      </c>
      <c r="X52" t="str">
        <f t="shared" ca="1" si="3"/>
        <v/>
      </c>
    </row>
    <row r="53" spans="1:24" x14ac:dyDescent="0.25">
      <c r="A53" t="s">
        <v>127</v>
      </c>
      <c r="B53" t="s">
        <v>128</v>
      </c>
      <c r="C53" t="s">
        <v>28</v>
      </c>
      <c r="D53" t="s">
        <v>62</v>
      </c>
      <c r="E53" s="1">
        <v>44705</v>
      </c>
      <c r="F53" t="s">
        <v>14</v>
      </c>
      <c r="G53">
        <v>11879</v>
      </c>
      <c r="H53">
        <v>1955</v>
      </c>
      <c r="I53">
        <v>3.1</v>
      </c>
      <c r="J53">
        <v>7</v>
      </c>
      <c r="M53">
        <f t="shared" ca="1" si="0"/>
        <v>1144</v>
      </c>
      <c r="N53" s="3" t="str" cm="1">
        <f t="array" ref="N53">_xlfn.IFS(I53&gt;=3.5,"Excellent",I53&gt;=3,"Good",I53&gt;=2,"Average",I53&lt;2,"Poor")</f>
        <v>Good</v>
      </c>
      <c r="P53" t="str">
        <f t="shared" si="1"/>
        <v/>
      </c>
      <c r="Q53">
        <f t="shared" si="2"/>
        <v>748893</v>
      </c>
      <c r="R53">
        <v>2022</v>
      </c>
      <c r="X53" t="str">
        <f t="shared" ca="1" si="3"/>
        <v/>
      </c>
    </row>
    <row r="54" spans="1:24" x14ac:dyDescent="0.25">
      <c r="A54" t="s">
        <v>129</v>
      </c>
      <c r="B54" t="s">
        <v>130</v>
      </c>
      <c r="C54" t="s">
        <v>36</v>
      </c>
      <c r="D54" t="s">
        <v>62</v>
      </c>
      <c r="E54" s="1">
        <v>44893</v>
      </c>
      <c r="F54" t="s">
        <v>14</v>
      </c>
      <c r="G54">
        <v>4067</v>
      </c>
      <c r="H54">
        <v>6992</v>
      </c>
      <c r="I54">
        <v>2.34</v>
      </c>
      <c r="J54">
        <v>20</v>
      </c>
      <c r="M54">
        <f t="shared" ca="1" si="0"/>
        <v>956</v>
      </c>
      <c r="N54" s="3" t="str" cm="1">
        <f t="array" ref="N54">_xlfn.IFS(I54&gt;=3.5,"Excellent",I54&gt;=3,"Good",I54&gt;=2,"Average",I54&lt;2,"Poor")</f>
        <v>Average</v>
      </c>
      <c r="P54" t="str">
        <f t="shared" si="1"/>
        <v>True</v>
      </c>
      <c r="Q54">
        <f t="shared" si="2"/>
        <v>748893</v>
      </c>
      <c r="R54">
        <v>2022</v>
      </c>
      <c r="X54" t="str">
        <f t="shared" ca="1" si="3"/>
        <v/>
      </c>
    </row>
    <row r="55" spans="1:24" x14ac:dyDescent="0.25">
      <c r="A55" t="s">
        <v>131</v>
      </c>
      <c r="B55" t="s">
        <v>132</v>
      </c>
      <c r="C55" t="s">
        <v>25</v>
      </c>
      <c r="D55" t="s">
        <v>18</v>
      </c>
      <c r="E55" s="1">
        <v>44998</v>
      </c>
      <c r="F55" t="s">
        <v>19</v>
      </c>
      <c r="G55">
        <v>4873</v>
      </c>
      <c r="H55">
        <v>4377</v>
      </c>
      <c r="I55">
        <v>3.78</v>
      </c>
      <c r="J55">
        <v>80</v>
      </c>
      <c r="M55" t="str">
        <f t="shared" ca="1" si="0"/>
        <v/>
      </c>
      <c r="N55" s="3" t="str" cm="1">
        <f t="array" ref="N55">_xlfn.IFS(I55&gt;=3.5,"Excellent",I55&gt;=3,"Good",I55&gt;=2,"Average",I55&lt;2,"Poor")</f>
        <v>Excellent</v>
      </c>
      <c r="P55" t="str">
        <f t="shared" si="1"/>
        <v>True</v>
      </c>
      <c r="Q55">
        <f t="shared" si="2"/>
        <v>748893</v>
      </c>
      <c r="R55">
        <v>2023</v>
      </c>
      <c r="X55">
        <f t="shared" ca="1" si="3"/>
        <v>851</v>
      </c>
    </row>
    <row r="56" spans="1:24" x14ac:dyDescent="0.25">
      <c r="A56" t="s">
        <v>133</v>
      </c>
      <c r="B56" t="s">
        <v>134</v>
      </c>
      <c r="C56" t="s">
        <v>17</v>
      </c>
      <c r="D56" t="s">
        <v>62</v>
      </c>
      <c r="E56" s="1">
        <v>44930</v>
      </c>
      <c r="F56" t="s">
        <v>14</v>
      </c>
      <c r="G56">
        <v>3391</v>
      </c>
      <c r="H56">
        <v>8884</v>
      </c>
      <c r="I56">
        <v>3.88</v>
      </c>
      <c r="J56">
        <v>59</v>
      </c>
      <c r="M56">
        <f t="shared" ca="1" si="0"/>
        <v>919</v>
      </c>
      <c r="N56" s="3" t="str" cm="1">
        <f t="array" ref="N56">_xlfn.IFS(I56&gt;=3.5,"Excellent",I56&gt;=3,"Good",I56&gt;=2,"Average",I56&lt;2,"Poor")</f>
        <v>Excellent</v>
      </c>
      <c r="P56" t="str">
        <f t="shared" si="1"/>
        <v>True</v>
      </c>
      <c r="Q56">
        <f t="shared" si="2"/>
        <v>744020</v>
      </c>
      <c r="R56">
        <v>2023</v>
      </c>
      <c r="X56" t="str">
        <f t="shared" ca="1" si="3"/>
        <v/>
      </c>
    </row>
    <row r="57" spans="1:24" x14ac:dyDescent="0.25">
      <c r="A57" t="s">
        <v>135</v>
      </c>
      <c r="B57" t="s">
        <v>136</v>
      </c>
      <c r="C57" t="s">
        <v>25</v>
      </c>
      <c r="D57" t="s">
        <v>62</v>
      </c>
      <c r="E57" s="1">
        <v>45300</v>
      </c>
      <c r="F57" t="s">
        <v>14</v>
      </c>
      <c r="G57">
        <v>10808</v>
      </c>
      <c r="H57">
        <v>8868</v>
      </c>
      <c r="I57">
        <v>2.4300000000000002</v>
      </c>
      <c r="J57">
        <v>18</v>
      </c>
      <c r="M57">
        <f t="shared" ca="1" si="0"/>
        <v>549</v>
      </c>
      <c r="N57" s="3" t="str" cm="1">
        <f t="array" ref="N57">_xlfn.IFS(I57&gt;=3.5,"Excellent",I57&gt;=3,"Good",I57&gt;=2,"Average",I57&lt;2,"Poor")</f>
        <v>Average</v>
      </c>
      <c r="P57" t="str">
        <f t="shared" si="1"/>
        <v>True</v>
      </c>
      <c r="Q57">
        <f t="shared" si="2"/>
        <v>744020</v>
      </c>
      <c r="R57">
        <v>2024</v>
      </c>
      <c r="X57" t="str">
        <f t="shared" ca="1" si="3"/>
        <v/>
      </c>
    </row>
    <row r="58" spans="1:24" x14ac:dyDescent="0.25">
      <c r="A58" t="s">
        <v>137</v>
      </c>
      <c r="B58" t="s">
        <v>138</v>
      </c>
      <c r="C58" t="s">
        <v>54</v>
      </c>
      <c r="D58" t="s">
        <v>13</v>
      </c>
      <c r="E58" s="1">
        <v>44785</v>
      </c>
      <c r="F58" t="s">
        <v>14</v>
      </c>
      <c r="G58">
        <v>5739</v>
      </c>
      <c r="H58">
        <v>9881</v>
      </c>
      <c r="I58">
        <v>2.42</v>
      </c>
      <c r="J58">
        <v>78</v>
      </c>
      <c r="M58">
        <f t="shared" ca="1" si="0"/>
        <v>1064</v>
      </c>
      <c r="N58" s="3" t="str" cm="1">
        <f t="array" ref="N58">_xlfn.IFS(I58&gt;=3.5,"Excellent",I58&gt;=3,"Good",I58&gt;=2,"Average",I58&lt;2,"Poor")</f>
        <v>Average</v>
      </c>
      <c r="P58" t="str">
        <f t="shared" si="1"/>
        <v>True</v>
      </c>
      <c r="Q58">
        <f t="shared" si="2"/>
        <v>744020</v>
      </c>
      <c r="R58">
        <v>2022</v>
      </c>
      <c r="X58" t="str">
        <f t="shared" ca="1" si="3"/>
        <v/>
      </c>
    </row>
    <row r="59" spans="1:24" x14ac:dyDescent="0.25">
      <c r="A59" t="s">
        <v>139</v>
      </c>
      <c r="B59" t="s">
        <v>140</v>
      </c>
      <c r="C59" t="s">
        <v>22</v>
      </c>
      <c r="D59" t="s">
        <v>31</v>
      </c>
      <c r="E59" s="1">
        <v>45086</v>
      </c>
      <c r="F59" t="s">
        <v>14</v>
      </c>
      <c r="G59">
        <v>4317</v>
      </c>
      <c r="H59">
        <v>4541</v>
      </c>
      <c r="I59">
        <v>3.49</v>
      </c>
      <c r="J59">
        <v>107</v>
      </c>
      <c r="M59">
        <f t="shared" ca="1" si="0"/>
        <v>763</v>
      </c>
      <c r="N59" s="3" t="str" cm="1">
        <f t="array" ref="N59">_xlfn.IFS(I59&gt;=3.5,"Excellent",I59&gt;=3,"Good",I59&gt;=2,"Average",I59&lt;2,"Poor")</f>
        <v>Good</v>
      </c>
      <c r="P59" t="str">
        <f t="shared" si="1"/>
        <v>True</v>
      </c>
      <c r="Q59">
        <f t="shared" si="2"/>
        <v>744020</v>
      </c>
      <c r="R59">
        <v>2023</v>
      </c>
      <c r="X59" t="str">
        <f t="shared" ca="1" si="3"/>
        <v/>
      </c>
    </row>
    <row r="60" spans="1:24" x14ac:dyDescent="0.25">
      <c r="A60" t="s">
        <v>141</v>
      </c>
      <c r="B60" t="s">
        <v>142</v>
      </c>
      <c r="C60" t="s">
        <v>17</v>
      </c>
      <c r="D60" t="s">
        <v>18</v>
      </c>
      <c r="E60" s="1">
        <v>45255</v>
      </c>
      <c r="F60" t="s">
        <v>39</v>
      </c>
      <c r="G60">
        <v>7954</v>
      </c>
      <c r="H60">
        <v>9329</v>
      </c>
      <c r="I60">
        <v>3.4</v>
      </c>
      <c r="J60">
        <v>64</v>
      </c>
      <c r="M60" t="str">
        <f t="shared" ca="1" si="0"/>
        <v/>
      </c>
      <c r="N60" s="3" t="str" cm="1">
        <f t="array" ref="N60">_xlfn.IFS(I60&gt;=3.5,"Excellent",I60&gt;=3,"Good",I60&gt;=2,"Average",I60&lt;2,"Poor")</f>
        <v>Good</v>
      </c>
      <c r="P60" t="str">
        <f t="shared" si="1"/>
        <v>True</v>
      </c>
      <c r="Q60">
        <f t="shared" si="2"/>
        <v>744020</v>
      </c>
      <c r="R60">
        <v>2023</v>
      </c>
      <c r="X60" t="str">
        <f t="shared" ca="1" si="3"/>
        <v/>
      </c>
    </row>
    <row r="61" spans="1:24" x14ac:dyDescent="0.25">
      <c r="A61" t="s">
        <v>143</v>
      </c>
      <c r="B61" t="s">
        <v>144</v>
      </c>
      <c r="C61" t="s">
        <v>54</v>
      </c>
      <c r="D61" t="s">
        <v>18</v>
      </c>
      <c r="E61" s="1">
        <v>44786</v>
      </c>
      <c r="F61" t="s">
        <v>39</v>
      </c>
      <c r="G61">
        <v>10043</v>
      </c>
      <c r="H61">
        <v>631</v>
      </c>
      <c r="I61">
        <v>2.68</v>
      </c>
      <c r="J61">
        <v>77</v>
      </c>
      <c r="M61" t="str">
        <f t="shared" ca="1" si="0"/>
        <v/>
      </c>
      <c r="N61" s="3" t="str" cm="1">
        <f t="array" ref="N61">_xlfn.IFS(I61&gt;=3.5,"Excellent",I61&gt;=3,"Good",I61&gt;=2,"Average",I61&lt;2,"Poor")</f>
        <v>Average</v>
      </c>
      <c r="P61" t="str">
        <f t="shared" si="1"/>
        <v/>
      </c>
      <c r="Q61">
        <f t="shared" si="2"/>
        <v>744020</v>
      </c>
      <c r="R61">
        <v>2022</v>
      </c>
      <c r="X61" t="str">
        <f t="shared" ca="1" si="3"/>
        <v/>
      </c>
    </row>
    <row r="62" spans="1:24" x14ac:dyDescent="0.25">
      <c r="A62" t="s">
        <v>145</v>
      </c>
      <c r="B62" t="s">
        <v>146</v>
      </c>
      <c r="C62" t="s">
        <v>36</v>
      </c>
      <c r="D62" t="s">
        <v>62</v>
      </c>
      <c r="E62" s="1">
        <v>44870</v>
      </c>
      <c r="F62" t="s">
        <v>14</v>
      </c>
      <c r="G62">
        <v>6418</v>
      </c>
      <c r="H62">
        <v>3384</v>
      </c>
      <c r="I62">
        <v>2</v>
      </c>
      <c r="J62">
        <v>93</v>
      </c>
      <c r="M62">
        <f t="shared" ca="1" si="0"/>
        <v>979</v>
      </c>
      <c r="N62" s="3" t="str" cm="1">
        <f t="array" ref="N62">_xlfn.IFS(I62&gt;=3.5,"Excellent",I62&gt;=3,"Good",I62&gt;=2,"Average",I62&lt;2,"Poor")</f>
        <v>Average</v>
      </c>
      <c r="P62" t="str">
        <f t="shared" si="1"/>
        <v>True</v>
      </c>
      <c r="Q62">
        <f t="shared" si="2"/>
        <v>744020</v>
      </c>
      <c r="R62">
        <v>2022</v>
      </c>
      <c r="X62" t="str">
        <f t="shared" ca="1" si="3"/>
        <v/>
      </c>
    </row>
    <row r="63" spans="1:24" x14ac:dyDescent="0.25">
      <c r="A63" t="s">
        <v>147</v>
      </c>
      <c r="B63" t="s">
        <v>148</v>
      </c>
      <c r="C63" t="s">
        <v>36</v>
      </c>
      <c r="D63" t="s">
        <v>62</v>
      </c>
      <c r="E63" s="1">
        <v>45256</v>
      </c>
      <c r="F63" t="s">
        <v>14</v>
      </c>
      <c r="G63">
        <v>4274</v>
      </c>
      <c r="H63">
        <v>2777</v>
      </c>
      <c r="I63">
        <v>3.53</v>
      </c>
      <c r="J63">
        <v>22</v>
      </c>
      <c r="M63">
        <f t="shared" ca="1" si="0"/>
        <v>593</v>
      </c>
      <c r="N63" s="3" t="str" cm="1">
        <f t="array" ref="N63">_xlfn.IFS(I63&gt;=3.5,"Excellent",I63&gt;=3,"Good",I63&gt;=2,"Average",I63&lt;2,"Poor")</f>
        <v>Excellent</v>
      </c>
      <c r="P63" t="str">
        <f t="shared" si="1"/>
        <v>True</v>
      </c>
      <c r="Q63">
        <f t="shared" si="2"/>
        <v>744020</v>
      </c>
      <c r="R63">
        <v>2023</v>
      </c>
      <c r="X63" t="str">
        <f t="shared" ca="1" si="3"/>
        <v/>
      </c>
    </row>
    <row r="64" spans="1:24" x14ac:dyDescent="0.25">
      <c r="A64" t="s">
        <v>149</v>
      </c>
      <c r="B64" t="s">
        <v>150</v>
      </c>
      <c r="C64" t="s">
        <v>25</v>
      </c>
      <c r="D64" t="s">
        <v>62</v>
      </c>
      <c r="E64" s="1">
        <v>44736</v>
      </c>
      <c r="F64" t="s">
        <v>14</v>
      </c>
      <c r="G64">
        <v>14423</v>
      </c>
      <c r="H64">
        <v>883</v>
      </c>
      <c r="I64">
        <v>2.12</v>
      </c>
      <c r="J64">
        <v>84</v>
      </c>
      <c r="M64">
        <f t="shared" ca="1" si="0"/>
        <v>1113</v>
      </c>
      <c r="N64" s="3" t="str" cm="1">
        <f t="array" ref="N64">_xlfn.IFS(I64&gt;=3.5,"Excellent",I64&gt;=3,"Good",I64&gt;=2,"Average",I64&lt;2,"Poor")</f>
        <v>Average</v>
      </c>
      <c r="P64" t="str">
        <f t="shared" si="1"/>
        <v/>
      </c>
      <c r="Q64">
        <f t="shared" si="2"/>
        <v>744020</v>
      </c>
      <c r="R64">
        <v>2022</v>
      </c>
      <c r="X64" t="str">
        <f t="shared" ca="1" si="3"/>
        <v/>
      </c>
    </row>
    <row r="65" spans="1:24" x14ac:dyDescent="0.25">
      <c r="A65" t="s">
        <v>151</v>
      </c>
      <c r="B65" t="s">
        <v>152</v>
      </c>
      <c r="C65" t="s">
        <v>12</v>
      </c>
      <c r="D65" t="s">
        <v>18</v>
      </c>
      <c r="E65" s="1">
        <v>44801</v>
      </c>
      <c r="F65" t="s">
        <v>19</v>
      </c>
      <c r="G65">
        <v>5263</v>
      </c>
      <c r="H65">
        <v>8683</v>
      </c>
      <c r="I65">
        <v>2.31</v>
      </c>
      <c r="J65">
        <v>45</v>
      </c>
      <c r="M65" t="str">
        <f t="shared" ca="1" si="0"/>
        <v/>
      </c>
      <c r="N65" s="3" t="str" cm="1">
        <f t="array" ref="N65">_xlfn.IFS(I65&gt;=3.5,"Excellent",I65&gt;=3,"Good",I65&gt;=2,"Average",I65&lt;2,"Poor")</f>
        <v>Average</v>
      </c>
      <c r="P65" t="str">
        <f t="shared" si="1"/>
        <v>True</v>
      </c>
      <c r="Q65">
        <f t="shared" si="2"/>
        <v>744020</v>
      </c>
      <c r="R65">
        <v>2022</v>
      </c>
      <c r="X65">
        <f t="shared" ca="1" si="3"/>
        <v>1048</v>
      </c>
    </row>
    <row r="66" spans="1:24" x14ac:dyDescent="0.25">
      <c r="A66" t="s">
        <v>153</v>
      </c>
      <c r="B66" t="s">
        <v>154</v>
      </c>
      <c r="C66" t="s">
        <v>22</v>
      </c>
      <c r="D66" t="s">
        <v>18</v>
      </c>
      <c r="E66" s="1">
        <v>44884</v>
      </c>
      <c r="F66" t="s">
        <v>14</v>
      </c>
      <c r="G66">
        <v>11418</v>
      </c>
      <c r="H66">
        <v>7383</v>
      </c>
      <c r="I66">
        <v>2.23</v>
      </c>
      <c r="J66">
        <v>98</v>
      </c>
      <c r="M66">
        <f t="shared" ca="1" si="0"/>
        <v>965</v>
      </c>
      <c r="N66" s="3" t="str" cm="1">
        <f t="array" ref="N66">_xlfn.IFS(I66&gt;=3.5,"Excellent",I66&gt;=3,"Good",I66&gt;=2,"Average",I66&lt;2,"Poor")</f>
        <v>Average</v>
      </c>
      <c r="P66" t="str">
        <f t="shared" si="1"/>
        <v>True</v>
      </c>
      <c r="Q66">
        <f t="shared" si="2"/>
        <v>738757</v>
      </c>
      <c r="R66">
        <v>2022</v>
      </c>
      <c r="X66" t="str">
        <f t="shared" ca="1" si="3"/>
        <v/>
      </c>
    </row>
    <row r="67" spans="1:24" x14ac:dyDescent="0.25">
      <c r="A67" t="s">
        <v>155</v>
      </c>
      <c r="B67" t="s">
        <v>156</v>
      </c>
      <c r="C67" t="s">
        <v>17</v>
      </c>
      <c r="D67" t="s">
        <v>62</v>
      </c>
      <c r="E67" s="1">
        <v>45102</v>
      </c>
      <c r="F67" t="s">
        <v>14</v>
      </c>
      <c r="G67">
        <v>12257</v>
      </c>
      <c r="H67">
        <v>1265</v>
      </c>
      <c r="I67">
        <v>2.67</v>
      </c>
      <c r="J67">
        <v>77</v>
      </c>
      <c r="M67">
        <f t="shared" ref="M67:M130" ca="1" si="4">IF(F67="Enrolled",TODAY()-E67,"")</f>
        <v>747</v>
      </c>
      <c r="N67" s="3" t="str" cm="1">
        <f t="array" ref="N67">_xlfn.IFS(I67&gt;=3.5,"Excellent",I67&gt;=3,"Good",I67&gt;=2,"Average",I67&lt;2,"Poor")</f>
        <v>Average</v>
      </c>
      <c r="P67" t="str">
        <f t="shared" ref="P67:P130" si="5">IF(H67&gt;0.5*G67,"True","")</f>
        <v/>
      </c>
      <c r="Q67">
        <f t="shared" ref="Q67:Q130" si="6">SUMIFS(G67:G1266,F67:F1266,"Completed",D67:D1266,"Science")</f>
        <v>738757</v>
      </c>
      <c r="R67">
        <v>2023</v>
      </c>
      <c r="X67" t="str">
        <f t="shared" ref="X67:X130" ca="1" si="7">IF(F67="Completed",TODAY()-E67,"")</f>
        <v/>
      </c>
    </row>
    <row r="68" spans="1:24" x14ac:dyDescent="0.25">
      <c r="A68" t="s">
        <v>157</v>
      </c>
      <c r="B68" t="s">
        <v>158</v>
      </c>
      <c r="C68" t="s">
        <v>28</v>
      </c>
      <c r="D68" t="s">
        <v>31</v>
      </c>
      <c r="E68" s="1">
        <v>45061</v>
      </c>
      <c r="F68" t="s">
        <v>14</v>
      </c>
      <c r="G68">
        <v>11963</v>
      </c>
      <c r="H68">
        <v>6042</v>
      </c>
      <c r="I68">
        <v>3.93</v>
      </c>
      <c r="J68">
        <v>15</v>
      </c>
      <c r="M68">
        <f t="shared" ca="1" si="4"/>
        <v>788</v>
      </c>
      <c r="N68" s="3" t="str" cm="1">
        <f t="array" ref="N68">_xlfn.IFS(I68&gt;=3.5,"Excellent",I68&gt;=3,"Good",I68&gt;=2,"Average",I68&lt;2,"Poor")</f>
        <v>Excellent</v>
      </c>
      <c r="P68" t="str">
        <f t="shared" si="5"/>
        <v>True</v>
      </c>
      <c r="Q68">
        <f t="shared" si="6"/>
        <v>738757</v>
      </c>
      <c r="R68">
        <v>2023</v>
      </c>
      <c r="X68" t="str">
        <f t="shared" ca="1" si="7"/>
        <v/>
      </c>
    </row>
    <row r="69" spans="1:24" x14ac:dyDescent="0.25">
      <c r="A69" t="s">
        <v>159</v>
      </c>
      <c r="B69" t="s">
        <v>160</v>
      </c>
      <c r="C69" t="s">
        <v>28</v>
      </c>
      <c r="D69" t="s">
        <v>31</v>
      </c>
      <c r="E69" s="1">
        <v>45185</v>
      </c>
      <c r="F69" t="s">
        <v>14</v>
      </c>
      <c r="G69">
        <v>14287</v>
      </c>
      <c r="H69">
        <v>7031</v>
      </c>
      <c r="I69">
        <v>3.57</v>
      </c>
      <c r="J69">
        <v>47</v>
      </c>
      <c r="M69">
        <f t="shared" ca="1" si="4"/>
        <v>664</v>
      </c>
      <c r="N69" s="3" t="str" cm="1">
        <f t="array" ref="N69">_xlfn.IFS(I69&gt;=3.5,"Excellent",I69&gt;=3,"Good",I69&gt;=2,"Average",I69&lt;2,"Poor")</f>
        <v>Excellent</v>
      </c>
      <c r="P69" t="str">
        <f t="shared" si="5"/>
        <v/>
      </c>
      <c r="Q69">
        <f t="shared" si="6"/>
        <v>738757</v>
      </c>
      <c r="R69">
        <v>2023</v>
      </c>
      <c r="X69" t="str">
        <f t="shared" ca="1" si="7"/>
        <v/>
      </c>
    </row>
    <row r="70" spans="1:24" x14ac:dyDescent="0.25">
      <c r="A70" t="s">
        <v>161</v>
      </c>
      <c r="B70" t="s">
        <v>162</v>
      </c>
      <c r="C70" t="s">
        <v>22</v>
      </c>
      <c r="D70" t="s">
        <v>18</v>
      </c>
      <c r="E70" s="1">
        <v>45097</v>
      </c>
      <c r="F70" t="s">
        <v>14</v>
      </c>
      <c r="G70">
        <v>13017</v>
      </c>
      <c r="H70">
        <v>5214</v>
      </c>
      <c r="I70">
        <v>3.64</v>
      </c>
      <c r="J70">
        <v>1</v>
      </c>
      <c r="M70">
        <f t="shared" ca="1" si="4"/>
        <v>752</v>
      </c>
      <c r="N70" s="3" t="str" cm="1">
        <f t="array" ref="N70">_xlfn.IFS(I70&gt;=3.5,"Excellent",I70&gt;=3,"Good",I70&gt;=2,"Average",I70&lt;2,"Poor")</f>
        <v>Excellent</v>
      </c>
      <c r="P70" t="str">
        <f t="shared" si="5"/>
        <v/>
      </c>
      <c r="Q70">
        <f t="shared" si="6"/>
        <v>738757</v>
      </c>
      <c r="R70">
        <v>2023</v>
      </c>
      <c r="X70" t="str">
        <f t="shared" ca="1" si="7"/>
        <v/>
      </c>
    </row>
    <row r="71" spans="1:24" x14ac:dyDescent="0.25">
      <c r="A71" t="s">
        <v>163</v>
      </c>
      <c r="B71" t="s">
        <v>164</v>
      </c>
      <c r="C71" t="s">
        <v>36</v>
      </c>
      <c r="D71" t="s">
        <v>13</v>
      </c>
      <c r="E71" s="1">
        <v>44858</v>
      </c>
      <c r="F71" t="s">
        <v>14</v>
      </c>
      <c r="G71">
        <v>5312</v>
      </c>
      <c r="H71">
        <v>9048</v>
      </c>
      <c r="I71">
        <v>3.35</v>
      </c>
      <c r="J71">
        <v>66</v>
      </c>
      <c r="M71">
        <f t="shared" ca="1" si="4"/>
        <v>991</v>
      </c>
      <c r="N71" s="3" t="str" cm="1">
        <f t="array" ref="N71">_xlfn.IFS(I71&gt;=3.5,"Excellent",I71&gt;=3,"Good",I71&gt;=2,"Average",I71&lt;2,"Poor")</f>
        <v>Good</v>
      </c>
      <c r="P71" t="str">
        <f t="shared" si="5"/>
        <v>True</v>
      </c>
      <c r="Q71">
        <f t="shared" si="6"/>
        <v>738757</v>
      </c>
      <c r="R71">
        <v>2022</v>
      </c>
      <c r="X71" t="str">
        <f t="shared" ca="1" si="7"/>
        <v/>
      </c>
    </row>
    <row r="72" spans="1:24" x14ac:dyDescent="0.25">
      <c r="A72" t="s">
        <v>165</v>
      </c>
      <c r="B72" t="s">
        <v>166</v>
      </c>
      <c r="C72" t="s">
        <v>17</v>
      </c>
      <c r="D72" t="s">
        <v>62</v>
      </c>
      <c r="E72" s="1">
        <v>45156</v>
      </c>
      <c r="F72" t="s">
        <v>14</v>
      </c>
      <c r="G72">
        <v>3888</v>
      </c>
      <c r="H72">
        <v>3552</v>
      </c>
      <c r="I72">
        <v>3.89</v>
      </c>
      <c r="J72">
        <v>104</v>
      </c>
      <c r="M72">
        <f t="shared" ca="1" si="4"/>
        <v>693</v>
      </c>
      <c r="N72" s="3" t="str" cm="1">
        <f t="array" ref="N72">_xlfn.IFS(I72&gt;=3.5,"Excellent",I72&gt;=3,"Good",I72&gt;=2,"Average",I72&lt;2,"Poor")</f>
        <v>Excellent</v>
      </c>
      <c r="P72" t="str">
        <f t="shared" si="5"/>
        <v>True</v>
      </c>
      <c r="Q72">
        <f t="shared" si="6"/>
        <v>738757</v>
      </c>
      <c r="R72">
        <v>2023</v>
      </c>
      <c r="X72" t="str">
        <f t="shared" ca="1" si="7"/>
        <v/>
      </c>
    </row>
    <row r="73" spans="1:24" x14ac:dyDescent="0.25">
      <c r="A73" t="s">
        <v>167</v>
      </c>
      <c r="B73" t="s">
        <v>168</v>
      </c>
      <c r="C73" t="s">
        <v>17</v>
      </c>
      <c r="D73" t="s">
        <v>18</v>
      </c>
      <c r="E73" s="1">
        <v>44599</v>
      </c>
      <c r="F73" t="s">
        <v>14</v>
      </c>
      <c r="G73">
        <v>5609</v>
      </c>
      <c r="H73">
        <v>3376</v>
      </c>
      <c r="I73">
        <v>2.75</v>
      </c>
      <c r="J73">
        <v>105</v>
      </c>
      <c r="M73">
        <f t="shared" ca="1" si="4"/>
        <v>1250</v>
      </c>
      <c r="N73" s="3" t="str" cm="1">
        <f t="array" ref="N73">_xlfn.IFS(I73&gt;=3.5,"Excellent",I73&gt;=3,"Good",I73&gt;=2,"Average",I73&lt;2,"Poor")</f>
        <v>Average</v>
      </c>
      <c r="P73" t="str">
        <f t="shared" si="5"/>
        <v>True</v>
      </c>
      <c r="Q73">
        <f t="shared" si="6"/>
        <v>738757</v>
      </c>
      <c r="R73">
        <v>2022</v>
      </c>
      <c r="X73" t="str">
        <f t="shared" ca="1" si="7"/>
        <v/>
      </c>
    </row>
    <row r="74" spans="1:24" x14ac:dyDescent="0.25">
      <c r="A74" t="s">
        <v>169</v>
      </c>
      <c r="B74" t="s">
        <v>170</v>
      </c>
      <c r="C74" t="s">
        <v>28</v>
      </c>
      <c r="D74" t="s">
        <v>18</v>
      </c>
      <c r="E74" s="1">
        <v>44672</v>
      </c>
      <c r="F74" t="s">
        <v>14</v>
      </c>
      <c r="G74">
        <v>12778</v>
      </c>
      <c r="H74">
        <v>4343</v>
      </c>
      <c r="I74">
        <v>2.79</v>
      </c>
      <c r="J74">
        <v>109</v>
      </c>
      <c r="M74">
        <f t="shared" ca="1" si="4"/>
        <v>1177</v>
      </c>
      <c r="N74" s="3" t="str" cm="1">
        <f t="array" ref="N74">_xlfn.IFS(I74&gt;=3.5,"Excellent",I74&gt;=3,"Good",I74&gt;=2,"Average",I74&lt;2,"Poor")</f>
        <v>Average</v>
      </c>
      <c r="P74" t="str">
        <f t="shared" si="5"/>
        <v/>
      </c>
      <c r="Q74">
        <f t="shared" si="6"/>
        <v>738757</v>
      </c>
      <c r="R74">
        <v>2022</v>
      </c>
      <c r="X74" t="str">
        <f t="shared" ca="1" si="7"/>
        <v/>
      </c>
    </row>
    <row r="75" spans="1:24" x14ac:dyDescent="0.25">
      <c r="A75" t="s">
        <v>171</v>
      </c>
      <c r="B75" t="s">
        <v>172</v>
      </c>
      <c r="C75" t="s">
        <v>36</v>
      </c>
      <c r="D75" t="s">
        <v>13</v>
      </c>
      <c r="E75" s="1">
        <v>45237</v>
      </c>
      <c r="F75" t="s">
        <v>19</v>
      </c>
      <c r="G75">
        <v>13270</v>
      </c>
      <c r="H75">
        <v>5520</v>
      </c>
      <c r="I75">
        <v>2.12</v>
      </c>
      <c r="J75">
        <v>111</v>
      </c>
      <c r="M75" t="str">
        <f t="shared" ca="1" si="4"/>
        <v/>
      </c>
      <c r="N75" s="3" t="str" cm="1">
        <f t="array" ref="N75">_xlfn.IFS(I75&gt;=3.5,"Excellent",I75&gt;=3,"Good",I75&gt;=2,"Average",I75&lt;2,"Poor")</f>
        <v>Average</v>
      </c>
      <c r="P75" t="str">
        <f t="shared" si="5"/>
        <v/>
      </c>
      <c r="Q75">
        <f t="shared" si="6"/>
        <v>738757</v>
      </c>
      <c r="R75">
        <v>2023</v>
      </c>
      <c r="X75">
        <f t="shared" ca="1" si="7"/>
        <v>612</v>
      </c>
    </row>
    <row r="76" spans="1:24" x14ac:dyDescent="0.25">
      <c r="A76" t="s">
        <v>173</v>
      </c>
      <c r="B76" t="s">
        <v>174</v>
      </c>
      <c r="C76" t="s">
        <v>25</v>
      </c>
      <c r="D76" t="s">
        <v>18</v>
      </c>
      <c r="E76" s="1">
        <v>44745</v>
      </c>
      <c r="F76" t="s">
        <v>14</v>
      </c>
      <c r="G76">
        <v>13617</v>
      </c>
      <c r="H76">
        <v>7511</v>
      </c>
      <c r="I76">
        <v>3.37</v>
      </c>
      <c r="J76">
        <v>72</v>
      </c>
      <c r="M76">
        <f t="shared" ca="1" si="4"/>
        <v>1104</v>
      </c>
      <c r="N76" s="3" t="str" cm="1">
        <f t="array" ref="N76">_xlfn.IFS(I76&gt;=3.5,"Excellent",I76&gt;=3,"Good",I76&gt;=2,"Average",I76&lt;2,"Poor")</f>
        <v>Good</v>
      </c>
      <c r="P76" t="str">
        <f t="shared" si="5"/>
        <v>True</v>
      </c>
      <c r="Q76">
        <f t="shared" si="6"/>
        <v>738757</v>
      </c>
      <c r="R76">
        <v>2022</v>
      </c>
      <c r="X76" t="str">
        <f t="shared" ca="1" si="7"/>
        <v/>
      </c>
    </row>
    <row r="77" spans="1:24" x14ac:dyDescent="0.25">
      <c r="A77" t="s">
        <v>175</v>
      </c>
      <c r="B77" t="s">
        <v>176</v>
      </c>
      <c r="C77" t="s">
        <v>22</v>
      </c>
      <c r="D77" t="s">
        <v>31</v>
      </c>
      <c r="E77" s="1">
        <v>44750</v>
      </c>
      <c r="F77" t="s">
        <v>39</v>
      </c>
      <c r="G77">
        <v>5155</v>
      </c>
      <c r="H77">
        <v>596</v>
      </c>
      <c r="I77">
        <v>3.34</v>
      </c>
      <c r="J77">
        <v>18</v>
      </c>
      <c r="M77" t="str">
        <f t="shared" ca="1" si="4"/>
        <v/>
      </c>
      <c r="N77" s="3" t="str" cm="1">
        <f t="array" ref="N77">_xlfn.IFS(I77&gt;=3.5,"Excellent",I77&gt;=3,"Good",I77&gt;=2,"Average",I77&lt;2,"Poor")</f>
        <v>Good</v>
      </c>
      <c r="P77" t="str">
        <f t="shared" si="5"/>
        <v/>
      </c>
      <c r="Q77">
        <f t="shared" si="6"/>
        <v>738757</v>
      </c>
      <c r="R77">
        <v>2022</v>
      </c>
      <c r="X77" t="str">
        <f t="shared" ca="1" si="7"/>
        <v/>
      </c>
    </row>
    <row r="78" spans="1:24" x14ac:dyDescent="0.25">
      <c r="A78" t="s">
        <v>177</v>
      </c>
      <c r="B78" t="s">
        <v>178</v>
      </c>
      <c r="C78" t="s">
        <v>17</v>
      </c>
      <c r="D78" t="s">
        <v>62</v>
      </c>
      <c r="E78" s="1">
        <v>44896</v>
      </c>
      <c r="F78" t="s">
        <v>14</v>
      </c>
      <c r="G78">
        <v>14298</v>
      </c>
      <c r="H78">
        <v>5064</v>
      </c>
      <c r="I78">
        <v>3.83</v>
      </c>
      <c r="J78">
        <v>17</v>
      </c>
      <c r="M78">
        <f t="shared" ca="1" si="4"/>
        <v>953</v>
      </c>
      <c r="N78" s="3" t="str" cm="1">
        <f t="array" ref="N78">_xlfn.IFS(I78&gt;=3.5,"Excellent",I78&gt;=3,"Good",I78&gt;=2,"Average",I78&lt;2,"Poor")</f>
        <v>Excellent</v>
      </c>
      <c r="P78" t="str">
        <f t="shared" si="5"/>
        <v/>
      </c>
      <c r="Q78">
        <f t="shared" si="6"/>
        <v>738757</v>
      </c>
      <c r="R78">
        <v>2022</v>
      </c>
      <c r="X78" t="str">
        <f t="shared" ca="1" si="7"/>
        <v/>
      </c>
    </row>
    <row r="79" spans="1:24" x14ac:dyDescent="0.25">
      <c r="A79" t="s">
        <v>179</v>
      </c>
      <c r="B79" t="s">
        <v>180</v>
      </c>
      <c r="C79" t="s">
        <v>17</v>
      </c>
      <c r="D79" t="s">
        <v>13</v>
      </c>
      <c r="E79" s="1">
        <v>45058</v>
      </c>
      <c r="F79" t="s">
        <v>14</v>
      </c>
      <c r="G79">
        <v>4932</v>
      </c>
      <c r="H79">
        <v>9149</v>
      </c>
      <c r="I79">
        <v>2.38</v>
      </c>
      <c r="J79">
        <v>32</v>
      </c>
      <c r="M79">
        <f t="shared" ca="1" si="4"/>
        <v>791</v>
      </c>
      <c r="N79" s="3" t="str" cm="1">
        <f t="array" ref="N79">_xlfn.IFS(I79&gt;=3.5,"Excellent",I79&gt;=3,"Good",I79&gt;=2,"Average",I79&lt;2,"Poor")</f>
        <v>Average</v>
      </c>
      <c r="P79" t="str">
        <f t="shared" si="5"/>
        <v>True</v>
      </c>
      <c r="Q79">
        <f t="shared" si="6"/>
        <v>738757</v>
      </c>
      <c r="R79">
        <v>2023</v>
      </c>
      <c r="X79" t="str">
        <f t="shared" ca="1" si="7"/>
        <v/>
      </c>
    </row>
    <row r="80" spans="1:24" x14ac:dyDescent="0.25">
      <c r="A80" t="s">
        <v>181</v>
      </c>
      <c r="B80" t="s">
        <v>182</v>
      </c>
      <c r="C80" t="s">
        <v>54</v>
      </c>
      <c r="D80" t="s">
        <v>18</v>
      </c>
      <c r="E80" s="1">
        <v>45287</v>
      </c>
      <c r="F80" t="s">
        <v>14</v>
      </c>
      <c r="G80">
        <v>14685</v>
      </c>
      <c r="H80">
        <v>9078</v>
      </c>
      <c r="I80">
        <v>2.02</v>
      </c>
      <c r="J80">
        <v>27</v>
      </c>
      <c r="M80">
        <f t="shared" ca="1" si="4"/>
        <v>562</v>
      </c>
      <c r="N80" s="3" t="str" cm="1">
        <f t="array" ref="N80">_xlfn.IFS(I80&gt;=3.5,"Excellent",I80&gt;=3,"Good",I80&gt;=2,"Average",I80&lt;2,"Poor")</f>
        <v>Average</v>
      </c>
      <c r="P80" t="str">
        <f t="shared" si="5"/>
        <v>True</v>
      </c>
      <c r="Q80">
        <f t="shared" si="6"/>
        <v>738757</v>
      </c>
      <c r="R80">
        <v>2023</v>
      </c>
      <c r="X80" t="str">
        <f t="shared" ca="1" si="7"/>
        <v/>
      </c>
    </row>
    <row r="81" spans="1:24" x14ac:dyDescent="0.25">
      <c r="A81" t="s">
        <v>183</v>
      </c>
      <c r="B81" t="s">
        <v>184</v>
      </c>
      <c r="C81" t="s">
        <v>22</v>
      </c>
      <c r="D81" t="s">
        <v>13</v>
      </c>
      <c r="E81" s="1">
        <v>45438</v>
      </c>
      <c r="F81" t="s">
        <v>14</v>
      </c>
      <c r="G81">
        <v>4021</v>
      </c>
      <c r="H81">
        <v>9984</v>
      </c>
      <c r="I81">
        <v>2.65</v>
      </c>
      <c r="J81">
        <v>55</v>
      </c>
      <c r="M81">
        <f t="shared" ca="1" si="4"/>
        <v>411</v>
      </c>
      <c r="N81" s="3" t="str" cm="1">
        <f t="array" ref="N81">_xlfn.IFS(I81&gt;=3.5,"Excellent",I81&gt;=3,"Good",I81&gt;=2,"Average",I81&lt;2,"Poor")</f>
        <v>Average</v>
      </c>
      <c r="P81" t="str">
        <f t="shared" si="5"/>
        <v>True</v>
      </c>
      <c r="Q81">
        <f t="shared" si="6"/>
        <v>738757</v>
      </c>
      <c r="R81">
        <v>2024</v>
      </c>
      <c r="X81" t="str">
        <f t="shared" ca="1" si="7"/>
        <v/>
      </c>
    </row>
    <row r="82" spans="1:24" x14ac:dyDescent="0.25">
      <c r="A82" t="s">
        <v>185</v>
      </c>
      <c r="B82" t="s">
        <v>186</v>
      </c>
      <c r="C82" t="s">
        <v>22</v>
      </c>
      <c r="D82" t="s">
        <v>31</v>
      </c>
      <c r="E82" s="1">
        <v>45172</v>
      </c>
      <c r="F82" t="s">
        <v>14</v>
      </c>
      <c r="G82">
        <v>14754</v>
      </c>
      <c r="H82">
        <v>8580</v>
      </c>
      <c r="I82">
        <v>3.89</v>
      </c>
      <c r="J82">
        <v>68</v>
      </c>
      <c r="M82">
        <f t="shared" ca="1" si="4"/>
        <v>677</v>
      </c>
      <c r="N82" s="3" t="str" cm="1">
        <f t="array" ref="N82">_xlfn.IFS(I82&gt;=3.5,"Excellent",I82&gt;=3,"Good",I82&gt;=2,"Average",I82&lt;2,"Poor")</f>
        <v>Excellent</v>
      </c>
      <c r="P82" t="str">
        <f t="shared" si="5"/>
        <v>True</v>
      </c>
      <c r="Q82">
        <f t="shared" si="6"/>
        <v>738757</v>
      </c>
      <c r="R82">
        <v>2023</v>
      </c>
      <c r="X82" t="str">
        <f t="shared" ca="1" si="7"/>
        <v/>
      </c>
    </row>
    <row r="83" spans="1:24" x14ac:dyDescent="0.25">
      <c r="A83" t="s">
        <v>187</v>
      </c>
      <c r="B83" t="s">
        <v>188</v>
      </c>
      <c r="C83" t="s">
        <v>57</v>
      </c>
      <c r="D83" t="s">
        <v>62</v>
      </c>
      <c r="E83" s="1">
        <v>44824</v>
      </c>
      <c r="F83" t="s">
        <v>39</v>
      </c>
      <c r="G83">
        <v>7359</v>
      </c>
      <c r="H83">
        <v>9908</v>
      </c>
      <c r="I83">
        <v>3.53</v>
      </c>
      <c r="J83">
        <v>35</v>
      </c>
      <c r="M83" t="str">
        <f t="shared" ca="1" si="4"/>
        <v/>
      </c>
      <c r="N83" s="3" t="str" cm="1">
        <f t="array" ref="N83">_xlfn.IFS(I83&gt;=3.5,"Excellent",I83&gt;=3,"Good",I83&gt;=2,"Average",I83&lt;2,"Poor")</f>
        <v>Excellent</v>
      </c>
      <c r="P83" t="str">
        <f t="shared" si="5"/>
        <v>True</v>
      </c>
      <c r="Q83">
        <f t="shared" si="6"/>
        <v>738757</v>
      </c>
      <c r="R83">
        <v>2022</v>
      </c>
      <c r="X83" t="str">
        <f t="shared" ca="1" si="7"/>
        <v/>
      </c>
    </row>
    <row r="84" spans="1:24" x14ac:dyDescent="0.25">
      <c r="A84" t="s">
        <v>189</v>
      </c>
      <c r="B84" t="s">
        <v>190</v>
      </c>
      <c r="C84" t="s">
        <v>36</v>
      </c>
      <c r="D84" t="s">
        <v>62</v>
      </c>
      <c r="E84" s="1">
        <v>44653</v>
      </c>
      <c r="F84" t="s">
        <v>14</v>
      </c>
      <c r="G84">
        <v>9833</v>
      </c>
      <c r="H84">
        <v>1595</v>
      </c>
      <c r="I84">
        <v>3.64</v>
      </c>
      <c r="J84">
        <v>28</v>
      </c>
      <c r="M84">
        <f t="shared" ca="1" si="4"/>
        <v>1196</v>
      </c>
      <c r="N84" s="3" t="str" cm="1">
        <f t="array" ref="N84">_xlfn.IFS(I84&gt;=3.5,"Excellent",I84&gt;=3,"Good",I84&gt;=2,"Average",I84&lt;2,"Poor")</f>
        <v>Excellent</v>
      </c>
      <c r="P84" t="str">
        <f t="shared" si="5"/>
        <v/>
      </c>
      <c r="Q84">
        <f t="shared" si="6"/>
        <v>738757</v>
      </c>
      <c r="R84">
        <v>2022</v>
      </c>
      <c r="X84" t="str">
        <f t="shared" ca="1" si="7"/>
        <v/>
      </c>
    </row>
    <row r="85" spans="1:24" x14ac:dyDescent="0.25">
      <c r="A85" t="s">
        <v>191</v>
      </c>
      <c r="B85" t="s">
        <v>192</v>
      </c>
      <c r="C85" t="s">
        <v>25</v>
      </c>
      <c r="D85" t="s">
        <v>31</v>
      </c>
      <c r="E85" s="1">
        <v>45186</v>
      </c>
      <c r="F85" t="s">
        <v>19</v>
      </c>
      <c r="G85">
        <v>9039</v>
      </c>
      <c r="H85">
        <v>6799</v>
      </c>
      <c r="I85">
        <v>2.57</v>
      </c>
      <c r="J85">
        <v>74</v>
      </c>
      <c r="M85" t="str">
        <f t="shared" ca="1" si="4"/>
        <v/>
      </c>
      <c r="N85" s="3" t="str" cm="1">
        <f t="array" ref="N85">_xlfn.IFS(I85&gt;=3.5,"Excellent",I85&gt;=3,"Good",I85&gt;=2,"Average",I85&lt;2,"Poor")</f>
        <v>Average</v>
      </c>
      <c r="P85" t="str">
        <f t="shared" si="5"/>
        <v>True</v>
      </c>
      <c r="Q85">
        <f t="shared" si="6"/>
        <v>738757</v>
      </c>
      <c r="R85">
        <v>2023</v>
      </c>
      <c r="X85">
        <f t="shared" ca="1" si="7"/>
        <v>663</v>
      </c>
    </row>
    <row r="86" spans="1:24" x14ac:dyDescent="0.25">
      <c r="A86" t="s">
        <v>193</v>
      </c>
      <c r="B86" t="s">
        <v>194</v>
      </c>
      <c r="C86" t="s">
        <v>25</v>
      </c>
      <c r="D86" t="s">
        <v>13</v>
      </c>
      <c r="E86" s="1">
        <v>44627</v>
      </c>
      <c r="F86" t="s">
        <v>19</v>
      </c>
      <c r="G86">
        <v>7072</v>
      </c>
      <c r="H86">
        <v>3108</v>
      </c>
      <c r="I86">
        <v>3.66</v>
      </c>
      <c r="J86">
        <v>82</v>
      </c>
      <c r="M86" t="str">
        <f t="shared" ca="1" si="4"/>
        <v/>
      </c>
      <c r="N86" s="3" t="str" cm="1">
        <f t="array" ref="N86">_xlfn.IFS(I86&gt;=3.5,"Excellent",I86&gt;=3,"Good",I86&gt;=2,"Average",I86&lt;2,"Poor")</f>
        <v>Excellent</v>
      </c>
      <c r="P86" t="str">
        <f t="shared" si="5"/>
        <v/>
      </c>
      <c r="Q86">
        <f t="shared" si="6"/>
        <v>738757</v>
      </c>
      <c r="R86">
        <v>2022</v>
      </c>
      <c r="X86">
        <f t="shared" ca="1" si="7"/>
        <v>1222</v>
      </c>
    </row>
    <row r="87" spans="1:24" x14ac:dyDescent="0.25">
      <c r="A87" t="s">
        <v>195</v>
      </c>
      <c r="B87" t="s">
        <v>196</v>
      </c>
      <c r="C87" t="s">
        <v>36</v>
      </c>
      <c r="D87" t="s">
        <v>31</v>
      </c>
      <c r="E87" s="1">
        <v>44894</v>
      </c>
      <c r="F87" t="s">
        <v>14</v>
      </c>
      <c r="G87">
        <v>14564</v>
      </c>
      <c r="H87">
        <v>9872</v>
      </c>
      <c r="I87">
        <v>2.64</v>
      </c>
      <c r="J87">
        <v>81</v>
      </c>
      <c r="M87">
        <f t="shared" ca="1" si="4"/>
        <v>955</v>
      </c>
      <c r="N87" s="3" t="str" cm="1">
        <f t="array" ref="N87">_xlfn.IFS(I87&gt;=3.5,"Excellent",I87&gt;=3,"Good",I87&gt;=2,"Average",I87&lt;2,"Poor")</f>
        <v>Average</v>
      </c>
      <c r="P87" t="str">
        <f t="shared" si="5"/>
        <v>True</v>
      </c>
      <c r="Q87">
        <f t="shared" si="6"/>
        <v>738757</v>
      </c>
      <c r="R87">
        <v>2022</v>
      </c>
      <c r="X87" t="str">
        <f t="shared" ca="1" si="7"/>
        <v/>
      </c>
    </row>
    <row r="88" spans="1:24" x14ac:dyDescent="0.25">
      <c r="A88" t="s">
        <v>197</v>
      </c>
      <c r="B88" t="s">
        <v>198</v>
      </c>
      <c r="C88" t="s">
        <v>54</v>
      </c>
      <c r="D88" t="s">
        <v>18</v>
      </c>
      <c r="E88" s="1">
        <v>44839</v>
      </c>
      <c r="F88" t="s">
        <v>14</v>
      </c>
      <c r="G88">
        <v>9580</v>
      </c>
      <c r="H88">
        <v>3701</v>
      </c>
      <c r="I88">
        <v>2.27</v>
      </c>
      <c r="J88">
        <v>14</v>
      </c>
      <c r="M88">
        <f t="shared" ca="1" si="4"/>
        <v>1010</v>
      </c>
      <c r="N88" s="3" t="str" cm="1">
        <f t="array" ref="N88">_xlfn.IFS(I88&gt;=3.5,"Excellent",I88&gt;=3,"Good",I88&gt;=2,"Average",I88&lt;2,"Poor")</f>
        <v>Average</v>
      </c>
      <c r="P88" t="str">
        <f t="shared" si="5"/>
        <v/>
      </c>
      <c r="Q88">
        <f t="shared" si="6"/>
        <v>738757</v>
      </c>
      <c r="R88">
        <v>2022</v>
      </c>
      <c r="X88" t="str">
        <f t="shared" ca="1" si="7"/>
        <v/>
      </c>
    </row>
    <row r="89" spans="1:24" x14ac:dyDescent="0.25">
      <c r="A89" t="s">
        <v>199</v>
      </c>
      <c r="B89" t="s">
        <v>200</v>
      </c>
      <c r="C89" t="s">
        <v>22</v>
      </c>
      <c r="D89" t="s">
        <v>62</v>
      </c>
      <c r="E89" s="1">
        <v>44801</v>
      </c>
      <c r="F89" t="s">
        <v>14</v>
      </c>
      <c r="G89">
        <v>13295</v>
      </c>
      <c r="H89">
        <v>1841</v>
      </c>
      <c r="I89">
        <v>2.4</v>
      </c>
      <c r="J89">
        <v>41</v>
      </c>
      <c r="M89">
        <f t="shared" ca="1" si="4"/>
        <v>1048</v>
      </c>
      <c r="N89" s="3" t="str" cm="1">
        <f t="array" ref="N89">_xlfn.IFS(I89&gt;=3.5,"Excellent",I89&gt;=3,"Good",I89&gt;=2,"Average",I89&lt;2,"Poor")</f>
        <v>Average</v>
      </c>
      <c r="P89" t="str">
        <f t="shared" si="5"/>
        <v/>
      </c>
      <c r="Q89">
        <f t="shared" si="6"/>
        <v>738757</v>
      </c>
      <c r="R89">
        <v>2022</v>
      </c>
      <c r="X89" t="str">
        <f t="shared" ca="1" si="7"/>
        <v/>
      </c>
    </row>
    <row r="90" spans="1:24" x14ac:dyDescent="0.25">
      <c r="A90" t="s">
        <v>201</v>
      </c>
      <c r="B90" t="s">
        <v>202</v>
      </c>
      <c r="C90" t="s">
        <v>36</v>
      </c>
      <c r="D90" t="s">
        <v>13</v>
      </c>
      <c r="E90" s="1">
        <v>45073</v>
      </c>
      <c r="F90" t="s">
        <v>14</v>
      </c>
      <c r="G90">
        <v>13755</v>
      </c>
      <c r="H90">
        <v>1211</v>
      </c>
      <c r="I90">
        <v>2.92</v>
      </c>
      <c r="J90">
        <v>95</v>
      </c>
      <c r="M90">
        <f t="shared" ca="1" si="4"/>
        <v>776</v>
      </c>
      <c r="N90" s="3" t="str" cm="1">
        <f t="array" ref="N90">_xlfn.IFS(I90&gt;=3.5,"Excellent",I90&gt;=3,"Good",I90&gt;=2,"Average",I90&lt;2,"Poor")</f>
        <v>Average</v>
      </c>
      <c r="P90" t="str">
        <f t="shared" si="5"/>
        <v/>
      </c>
      <c r="Q90">
        <f t="shared" si="6"/>
        <v>738757</v>
      </c>
      <c r="R90">
        <v>2023</v>
      </c>
      <c r="X90" t="str">
        <f t="shared" ca="1" si="7"/>
        <v/>
      </c>
    </row>
    <row r="91" spans="1:24" x14ac:dyDescent="0.25">
      <c r="A91" t="s">
        <v>203</v>
      </c>
      <c r="B91" t="s">
        <v>204</v>
      </c>
      <c r="C91" t="s">
        <v>22</v>
      </c>
      <c r="D91" t="s">
        <v>62</v>
      </c>
      <c r="E91" s="1">
        <v>44946</v>
      </c>
      <c r="F91" t="s">
        <v>19</v>
      </c>
      <c r="G91">
        <v>5803</v>
      </c>
      <c r="H91">
        <v>4278</v>
      </c>
      <c r="I91">
        <v>3.56</v>
      </c>
      <c r="J91">
        <v>54</v>
      </c>
      <c r="M91" t="str">
        <f t="shared" ca="1" si="4"/>
        <v/>
      </c>
      <c r="N91" s="3" t="str" cm="1">
        <f t="array" ref="N91">_xlfn.IFS(I91&gt;=3.5,"Excellent",I91&gt;=3,"Good",I91&gt;=2,"Average",I91&lt;2,"Poor")</f>
        <v>Excellent</v>
      </c>
      <c r="P91" t="str">
        <f t="shared" si="5"/>
        <v>True</v>
      </c>
      <c r="Q91">
        <f t="shared" si="6"/>
        <v>738757</v>
      </c>
      <c r="R91">
        <v>2023</v>
      </c>
      <c r="X91">
        <f t="shared" ca="1" si="7"/>
        <v>903</v>
      </c>
    </row>
    <row r="92" spans="1:24" x14ac:dyDescent="0.25">
      <c r="A92" t="s">
        <v>205</v>
      </c>
      <c r="B92" t="s">
        <v>206</v>
      </c>
      <c r="C92" t="s">
        <v>25</v>
      </c>
      <c r="D92" t="s">
        <v>13</v>
      </c>
      <c r="E92" s="1">
        <v>44620</v>
      </c>
      <c r="F92" t="s">
        <v>19</v>
      </c>
      <c r="G92">
        <v>4425</v>
      </c>
      <c r="H92">
        <v>3762</v>
      </c>
      <c r="I92">
        <v>3.25</v>
      </c>
      <c r="J92">
        <v>88</v>
      </c>
      <c r="M92" t="str">
        <f t="shared" ca="1" si="4"/>
        <v/>
      </c>
      <c r="N92" s="3" t="str" cm="1">
        <f t="array" ref="N92">_xlfn.IFS(I92&gt;=3.5,"Excellent",I92&gt;=3,"Good",I92&gt;=2,"Average",I92&lt;2,"Poor")</f>
        <v>Good</v>
      </c>
      <c r="P92" t="str">
        <f t="shared" si="5"/>
        <v>True</v>
      </c>
      <c r="Q92">
        <f t="shared" si="6"/>
        <v>738757</v>
      </c>
      <c r="R92">
        <v>2022</v>
      </c>
      <c r="X92">
        <f t="shared" ca="1" si="7"/>
        <v>1229</v>
      </c>
    </row>
    <row r="93" spans="1:24" x14ac:dyDescent="0.25">
      <c r="A93" t="s">
        <v>207</v>
      </c>
      <c r="B93" t="s">
        <v>208</v>
      </c>
      <c r="C93" t="s">
        <v>57</v>
      </c>
      <c r="D93" t="s">
        <v>31</v>
      </c>
      <c r="E93" s="1">
        <v>45013</v>
      </c>
      <c r="F93" t="s">
        <v>14</v>
      </c>
      <c r="G93">
        <v>10595</v>
      </c>
      <c r="H93">
        <v>583</v>
      </c>
      <c r="I93">
        <v>2.06</v>
      </c>
      <c r="J93">
        <v>53</v>
      </c>
      <c r="M93">
        <f t="shared" ca="1" si="4"/>
        <v>836</v>
      </c>
      <c r="N93" s="3" t="str" cm="1">
        <f t="array" ref="N93">_xlfn.IFS(I93&gt;=3.5,"Excellent",I93&gt;=3,"Good",I93&gt;=2,"Average",I93&lt;2,"Poor")</f>
        <v>Average</v>
      </c>
      <c r="P93" t="str">
        <f t="shared" si="5"/>
        <v/>
      </c>
      <c r="Q93">
        <f t="shared" si="6"/>
        <v>738757</v>
      </c>
      <c r="R93">
        <v>2023</v>
      </c>
      <c r="X93" t="str">
        <f t="shared" ca="1" si="7"/>
        <v/>
      </c>
    </row>
    <row r="94" spans="1:24" x14ac:dyDescent="0.25">
      <c r="A94" t="s">
        <v>209</v>
      </c>
      <c r="B94" t="s">
        <v>210</v>
      </c>
      <c r="C94" t="s">
        <v>54</v>
      </c>
      <c r="D94" t="s">
        <v>62</v>
      </c>
      <c r="E94" s="1">
        <v>44877</v>
      </c>
      <c r="F94" t="s">
        <v>14</v>
      </c>
      <c r="G94">
        <v>4640</v>
      </c>
      <c r="H94">
        <v>9029</v>
      </c>
      <c r="I94">
        <v>2.2000000000000002</v>
      </c>
      <c r="J94">
        <v>49</v>
      </c>
      <c r="M94">
        <f t="shared" ca="1" si="4"/>
        <v>972</v>
      </c>
      <c r="N94" s="3" t="str" cm="1">
        <f t="array" ref="N94">_xlfn.IFS(I94&gt;=3.5,"Excellent",I94&gt;=3,"Good",I94&gt;=2,"Average",I94&lt;2,"Poor")</f>
        <v>Average</v>
      </c>
      <c r="P94" t="str">
        <f t="shared" si="5"/>
        <v>True</v>
      </c>
      <c r="Q94">
        <f t="shared" si="6"/>
        <v>738757</v>
      </c>
      <c r="R94">
        <v>2022</v>
      </c>
      <c r="X94" t="str">
        <f t="shared" ca="1" si="7"/>
        <v/>
      </c>
    </row>
    <row r="95" spans="1:24" x14ac:dyDescent="0.25">
      <c r="A95" t="s">
        <v>211</v>
      </c>
      <c r="B95" t="s">
        <v>212</v>
      </c>
      <c r="C95" t="s">
        <v>22</v>
      </c>
      <c r="D95" t="s">
        <v>18</v>
      </c>
      <c r="E95" s="1">
        <v>44934</v>
      </c>
      <c r="F95" t="s">
        <v>14</v>
      </c>
      <c r="G95">
        <v>10193</v>
      </c>
      <c r="H95">
        <v>2692</v>
      </c>
      <c r="I95">
        <v>2.72</v>
      </c>
      <c r="J95">
        <v>65</v>
      </c>
      <c r="M95">
        <f t="shared" ca="1" si="4"/>
        <v>915</v>
      </c>
      <c r="N95" s="3" t="str" cm="1">
        <f t="array" ref="N95">_xlfn.IFS(I95&gt;=3.5,"Excellent",I95&gt;=3,"Good",I95&gt;=2,"Average",I95&lt;2,"Poor")</f>
        <v>Average</v>
      </c>
      <c r="P95" t="str">
        <f t="shared" si="5"/>
        <v/>
      </c>
      <c r="Q95">
        <f t="shared" si="6"/>
        <v>738757</v>
      </c>
      <c r="R95">
        <v>2023</v>
      </c>
      <c r="X95" t="str">
        <f t="shared" ca="1" si="7"/>
        <v/>
      </c>
    </row>
    <row r="96" spans="1:24" x14ac:dyDescent="0.25">
      <c r="A96" t="s">
        <v>213</v>
      </c>
      <c r="B96" t="s">
        <v>214</v>
      </c>
      <c r="C96" t="s">
        <v>25</v>
      </c>
      <c r="D96" t="s">
        <v>13</v>
      </c>
      <c r="E96" s="1">
        <v>45293</v>
      </c>
      <c r="F96" t="s">
        <v>19</v>
      </c>
      <c r="G96">
        <v>8635</v>
      </c>
      <c r="H96">
        <v>4086</v>
      </c>
      <c r="I96">
        <v>3.63</v>
      </c>
      <c r="J96">
        <v>15</v>
      </c>
      <c r="M96" t="str">
        <f t="shared" ca="1" si="4"/>
        <v/>
      </c>
      <c r="N96" s="3" t="str" cm="1">
        <f t="array" ref="N96">_xlfn.IFS(I96&gt;=3.5,"Excellent",I96&gt;=3,"Good",I96&gt;=2,"Average",I96&lt;2,"Poor")</f>
        <v>Excellent</v>
      </c>
      <c r="P96" t="str">
        <f t="shared" si="5"/>
        <v/>
      </c>
      <c r="Q96">
        <f t="shared" si="6"/>
        <v>738757</v>
      </c>
      <c r="R96">
        <v>2024</v>
      </c>
      <c r="X96">
        <f t="shared" ca="1" si="7"/>
        <v>556</v>
      </c>
    </row>
    <row r="97" spans="1:24" x14ac:dyDescent="0.25">
      <c r="A97" t="s">
        <v>215</v>
      </c>
      <c r="B97" t="s">
        <v>216</v>
      </c>
      <c r="C97" t="s">
        <v>36</v>
      </c>
      <c r="D97" t="s">
        <v>62</v>
      </c>
      <c r="E97" s="1">
        <v>44632</v>
      </c>
      <c r="F97" t="s">
        <v>19</v>
      </c>
      <c r="G97">
        <v>14890</v>
      </c>
      <c r="H97">
        <v>2674</v>
      </c>
      <c r="I97">
        <v>3.17</v>
      </c>
      <c r="J97">
        <v>93</v>
      </c>
      <c r="M97" t="str">
        <f t="shared" ca="1" si="4"/>
        <v/>
      </c>
      <c r="N97" s="3" t="str" cm="1">
        <f t="array" ref="N97">_xlfn.IFS(I97&gt;=3.5,"Excellent",I97&gt;=3,"Good",I97&gt;=2,"Average",I97&lt;2,"Poor")</f>
        <v>Good</v>
      </c>
      <c r="P97" t="str">
        <f t="shared" si="5"/>
        <v/>
      </c>
      <c r="Q97">
        <f t="shared" si="6"/>
        <v>738757</v>
      </c>
      <c r="R97">
        <v>2022</v>
      </c>
      <c r="X97">
        <f t="shared" ca="1" si="7"/>
        <v>1217</v>
      </c>
    </row>
    <row r="98" spans="1:24" x14ac:dyDescent="0.25">
      <c r="A98" t="s">
        <v>217</v>
      </c>
      <c r="B98" t="s">
        <v>218</v>
      </c>
      <c r="C98" t="s">
        <v>17</v>
      </c>
      <c r="D98" t="s">
        <v>62</v>
      </c>
      <c r="E98" s="1">
        <v>44630</v>
      </c>
      <c r="F98" t="s">
        <v>14</v>
      </c>
      <c r="G98">
        <v>4942</v>
      </c>
      <c r="H98">
        <v>4382</v>
      </c>
      <c r="I98">
        <v>3.43</v>
      </c>
      <c r="J98">
        <v>39</v>
      </c>
      <c r="M98">
        <f t="shared" ca="1" si="4"/>
        <v>1219</v>
      </c>
      <c r="N98" s="3" t="str" cm="1">
        <f t="array" ref="N98">_xlfn.IFS(I98&gt;=3.5,"Excellent",I98&gt;=3,"Good",I98&gt;=2,"Average",I98&lt;2,"Poor")</f>
        <v>Good</v>
      </c>
      <c r="P98" t="str">
        <f t="shared" si="5"/>
        <v>True</v>
      </c>
      <c r="Q98">
        <f t="shared" si="6"/>
        <v>738757</v>
      </c>
      <c r="R98">
        <v>2022</v>
      </c>
      <c r="X98" t="str">
        <f t="shared" ca="1" si="7"/>
        <v/>
      </c>
    </row>
    <row r="99" spans="1:24" x14ac:dyDescent="0.25">
      <c r="A99" t="s">
        <v>219</v>
      </c>
      <c r="B99" t="s">
        <v>220</v>
      </c>
      <c r="C99" t="s">
        <v>28</v>
      </c>
      <c r="D99" t="s">
        <v>13</v>
      </c>
      <c r="E99" s="1">
        <v>45214</v>
      </c>
      <c r="F99" t="s">
        <v>14</v>
      </c>
      <c r="G99">
        <v>12134</v>
      </c>
      <c r="H99">
        <v>838</v>
      </c>
      <c r="I99">
        <v>3.48</v>
      </c>
      <c r="J99">
        <v>20</v>
      </c>
      <c r="M99">
        <f t="shared" ca="1" si="4"/>
        <v>635</v>
      </c>
      <c r="N99" s="3" t="str" cm="1">
        <f t="array" ref="N99">_xlfn.IFS(I99&gt;=3.5,"Excellent",I99&gt;=3,"Good",I99&gt;=2,"Average",I99&lt;2,"Poor")</f>
        <v>Good</v>
      </c>
      <c r="P99" t="str">
        <f t="shared" si="5"/>
        <v/>
      </c>
      <c r="Q99">
        <f t="shared" si="6"/>
        <v>738757</v>
      </c>
      <c r="R99">
        <v>2023</v>
      </c>
      <c r="X99" t="str">
        <f t="shared" ca="1" si="7"/>
        <v/>
      </c>
    </row>
    <row r="100" spans="1:24" x14ac:dyDescent="0.25">
      <c r="A100" t="s">
        <v>221</v>
      </c>
      <c r="B100" t="s">
        <v>222</v>
      </c>
      <c r="C100" t="s">
        <v>36</v>
      </c>
      <c r="D100" t="s">
        <v>13</v>
      </c>
      <c r="E100" s="1">
        <v>44936</v>
      </c>
      <c r="F100" t="s">
        <v>14</v>
      </c>
      <c r="G100">
        <v>5970</v>
      </c>
      <c r="H100">
        <v>5622</v>
      </c>
      <c r="I100">
        <v>3.22</v>
      </c>
      <c r="J100">
        <v>118</v>
      </c>
      <c r="M100">
        <f t="shared" ca="1" si="4"/>
        <v>913</v>
      </c>
      <c r="N100" s="3" t="str" cm="1">
        <f t="array" ref="N100">_xlfn.IFS(I100&gt;=3.5,"Excellent",I100&gt;=3,"Good",I100&gt;=2,"Average",I100&lt;2,"Poor")</f>
        <v>Good</v>
      </c>
      <c r="P100" t="str">
        <f t="shared" si="5"/>
        <v>True</v>
      </c>
      <c r="Q100">
        <f t="shared" si="6"/>
        <v>738757</v>
      </c>
      <c r="R100">
        <v>2023</v>
      </c>
      <c r="X100" t="str">
        <f t="shared" ca="1" si="7"/>
        <v/>
      </c>
    </row>
    <row r="101" spans="1:24" x14ac:dyDescent="0.25">
      <c r="A101" t="s">
        <v>223</v>
      </c>
      <c r="B101" t="s">
        <v>224</v>
      </c>
      <c r="C101" t="s">
        <v>54</v>
      </c>
      <c r="D101" t="s">
        <v>31</v>
      </c>
      <c r="E101" s="1">
        <v>45200</v>
      </c>
      <c r="F101" t="s">
        <v>14</v>
      </c>
      <c r="G101">
        <v>4576</v>
      </c>
      <c r="H101">
        <v>8102</v>
      </c>
      <c r="I101">
        <v>2.91</v>
      </c>
      <c r="J101">
        <v>111</v>
      </c>
      <c r="M101">
        <f t="shared" ca="1" si="4"/>
        <v>649</v>
      </c>
      <c r="N101" s="3" t="str" cm="1">
        <f t="array" ref="N101">_xlfn.IFS(I101&gt;=3.5,"Excellent",I101&gt;=3,"Good",I101&gt;=2,"Average",I101&lt;2,"Poor")</f>
        <v>Average</v>
      </c>
      <c r="P101" t="str">
        <f t="shared" si="5"/>
        <v>True</v>
      </c>
      <c r="Q101">
        <f t="shared" si="6"/>
        <v>738757</v>
      </c>
      <c r="R101">
        <v>2023</v>
      </c>
      <c r="X101" t="str">
        <f t="shared" ca="1" si="7"/>
        <v/>
      </c>
    </row>
    <row r="102" spans="1:24" x14ac:dyDescent="0.25">
      <c r="A102" t="s">
        <v>225</v>
      </c>
      <c r="B102" t="s">
        <v>226</v>
      </c>
      <c r="C102" t="s">
        <v>54</v>
      </c>
      <c r="D102" t="s">
        <v>62</v>
      </c>
      <c r="E102" s="1">
        <v>44673</v>
      </c>
      <c r="F102" t="s">
        <v>19</v>
      </c>
      <c r="G102">
        <v>4673</v>
      </c>
      <c r="H102">
        <v>5393</v>
      </c>
      <c r="I102">
        <v>2.2799999999999998</v>
      </c>
      <c r="J102">
        <v>35</v>
      </c>
      <c r="M102" t="str">
        <f t="shared" ca="1" si="4"/>
        <v/>
      </c>
      <c r="N102" s="3" t="str" cm="1">
        <f t="array" ref="N102">_xlfn.IFS(I102&gt;=3.5,"Excellent",I102&gt;=3,"Good",I102&gt;=2,"Average",I102&lt;2,"Poor")</f>
        <v>Average</v>
      </c>
      <c r="P102" t="str">
        <f t="shared" si="5"/>
        <v>True</v>
      </c>
      <c r="Q102">
        <f t="shared" si="6"/>
        <v>738757</v>
      </c>
      <c r="R102">
        <v>2022</v>
      </c>
      <c r="X102">
        <f t="shared" ca="1" si="7"/>
        <v>1176</v>
      </c>
    </row>
    <row r="103" spans="1:24" x14ac:dyDescent="0.25">
      <c r="A103" t="s">
        <v>227</v>
      </c>
      <c r="B103" t="s">
        <v>228</v>
      </c>
      <c r="C103" t="s">
        <v>22</v>
      </c>
      <c r="D103" t="s">
        <v>31</v>
      </c>
      <c r="E103" s="1">
        <v>44883</v>
      </c>
      <c r="F103" t="s">
        <v>19</v>
      </c>
      <c r="G103">
        <v>11777</v>
      </c>
      <c r="H103">
        <v>5757</v>
      </c>
      <c r="I103">
        <v>3.22</v>
      </c>
      <c r="J103">
        <v>19</v>
      </c>
      <c r="M103" t="str">
        <f t="shared" ca="1" si="4"/>
        <v/>
      </c>
      <c r="N103" s="3" t="str" cm="1">
        <f t="array" ref="N103">_xlfn.IFS(I103&gt;=3.5,"Excellent",I103&gt;=3,"Good",I103&gt;=2,"Average",I103&lt;2,"Poor")</f>
        <v>Good</v>
      </c>
      <c r="P103" t="str">
        <f t="shared" si="5"/>
        <v/>
      </c>
      <c r="Q103">
        <f t="shared" si="6"/>
        <v>738757</v>
      </c>
      <c r="R103">
        <v>2022</v>
      </c>
      <c r="X103">
        <f t="shared" ca="1" si="7"/>
        <v>966</v>
      </c>
    </row>
    <row r="104" spans="1:24" x14ac:dyDescent="0.25">
      <c r="A104" t="s">
        <v>229</v>
      </c>
      <c r="B104" t="s">
        <v>230</v>
      </c>
      <c r="C104" t="s">
        <v>36</v>
      </c>
      <c r="D104" t="s">
        <v>18</v>
      </c>
      <c r="E104" s="1">
        <v>45415</v>
      </c>
      <c r="F104" t="s">
        <v>14</v>
      </c>
      <c r="G104">
        <v>3948</v>
      </c>
      <c r="H104">
        <v>913</v>
      </c>
      <c r="I104">
        <v>3.44</v>
      </c>
      <c r="J104">
        <v>101</v>
      </c>
      <c r="M104">
        <f t="shared" ca="1" si="4"/>
        <v>434</v>
      </c>
      <c r="N104" s="3" t="str" cm="1">
        <f t="array" ref="N104">_xlfn.IFS(I104&gt;=3.5,"Excellent",I104&gt;=3,"Good",I104&gt;=2,"Average",I104&lt;2,"Poor")</f>
        <v>Good</v>
      </c>
      <c r="P104" t="str">
        <f t="shared" si="5"/>
        <v/>
      </c>
      <c r="Q104">
        <f t="shared" si="6"/>
        <v>738757</v>
      </c>
      <c r="R104">
        <v>2024</v>
      </c>
      <c r="X104" t="str">
        <f t="shared" ca="1" si="7"/>
        <v/>
      </c>
    </row>
    <row r="105" spans="1:24" x14ac:dyDescent="0.25">
      <c r="A105" t="s">
        <v>231</v>
      </c>
      <c r="B105" t="s">
        <v>232</v>
      </c>
      <c r="C105" t="s">
        <v>57</v>
      </c>
      <c r="D105" t="s">
        <v>31</v>
      </c>
      <c r="E105" s="1">
        <v>45150</v>
      </c>
      <c r="F105" t="s">
        <v>19</v>
      </c>
      <c r="G105">
        <v>3512</v>
      </c>
      <c r="H105">
        <v>4473</v>
      </c>
      <c r="I105">
        <v>2.92</v>
      </c>
      <c r="J105">
        <v>63</v>
      </c>
      <c r="M105" t="str">
        <f t="shared" ca="1" si="4"/>
        <v/>
      </c>
      <c r="N105" s="3" t="str" cm="1">
        <f t="array" ref="N105">_xlfn.IFS(I105&gt;=3.5,"Excellent",I105&gt;=3,"Good",I105&gt;=2,"Average",I105&lt;2,"Poor")</f>
        <v>Average</v>
      </c>
      <c r="P105" t="str">
        <f t="shared" si="5"/>
        <v>True</v>
      </c>
      <c r="Q105">
        <f t="shared" si="6"/>
        <v>738757</v>
      </c>
      <c r="R105">
        <v>2023</v>
      </c>
      <c r="X105">
        <f t="shared" ca="1" si="7"/>
        <v>699</v>
      </c>
    </row>
    <row r="106" spans="1:24" x14ac:dyDescent="0.25">
      <c r="A106" t="s">
        <v>233</v>
      </c>
      <c r="B106" t="s">
        <v>234</v>
      </c>
      <c r="C106" t="s">
        <v>17</v>
      </c>
      <c r="D106" t="s">
        <v>31</v>
      </c>
      <c r="E106" s="1">
        <v>45456</v>
      </c>
      <c r="F106" t="s">
        <v>14</v>
      </c>
      <c r="G106">
        <v>4717</v>
      </c>
      <c r="H106">
        <v>7462</v>
      </c>
      <c r="I106">
        <v>3.58</v>
      </c>
      <c r="J106">
        <v>1</v>
      </c>
      <c r="M106">
        <f t="shared" ca="1" si="4"/>
        <v>393</v>
      </c>
      <c r="N106" s="3" t="str" cm="1">
        <f t="array" ref="N106">_xlfn.IFS(I106&gt;=3.5,"Excellent",I106&gt;=3,"Good",I106&gt;=2,"Average",I106&lt;2,"Poor")</f>
        <v>Excellent</v>
      </c>
      <c r="P106" t="str">
        <f t="shared" si="5"/>
        <v>True</v>
      </c>
      <c r="Q106">
        <f t="shared" si="6"/>
        <v>738757</v>
      </c>
      <c r="R106">
        <v>2024</v>
      </c>
      <c r="X106" t="str">
        <f t="shared" ca="1" si="7"/>
        <v/>
      </c>
    </row>
    <row r="107" spans="1:24" x14ac:dyDescent="0.25">
      <c r="A107" t="s">
        <v>235</v>
      </c>
      <c r="B107" t="s">
        <v>236</v>
      </c>
      <c r="C107" t="s">
        <v>22</v>
      </c>
      <c r="D107" t="s">
        <v>13</v>
      </c>
      <c r="E107" s="1">
        <v>45092</v>
      </c>
      <c r="F107" t="s">
        <v>39</v>
      </c>
      <c r="G107">
        <v>2717</v>
      </c>
      <c r="H107">
        <v>9601</v>
      </c>
      <c r="I107">
        <v>2.14</v>
      </c>
      <c r="J107">
        <v>11</v>
      </c>
      <c r="M107" t="str">
        <f t="shared" ca="1" si="4"/>
        <v/>
      </c>
      <c r="N107" s="3" t="str" cm="1">
        <f t="array" ref="N107">_xlfn.IFS(I107&gt;=3.5,"Excellent",I107&gt;=3,"Good",I107&gt;=2,"Average",I107&lt;2,"Poor")</f>
        <v>Average</v>
      </c>
      <c r="P107" t="str">
        <f t="shared" si="5"/>
        <v>True</v>
      </c>
      <c r="Q107">
        <f t="shared" si="6"/>
        <v>738757</v>
      </c>
      <c r="R107">
        <v>2023</v>
      </c>
      <c r="X107" t="str">
        <f t="shared" ca="1" si="7"/>
        <v/>
      </c>
    </row>
    <row r="108" spans="1:24" x14ac:dyDescent="0.25">
      <c r="A108" t="s">
        <v>237</v>
      </c>
      <c r="B108" t="s">
        <v>238</v>
      </c>
      <c r="C108" t="s">
        <v>17</v>
      </c>
      <c r="D108" t="s">
        <v>31</v>
      </c>
      <c r="E108" s="1">
        <v>44601</v>
      </c>
      <c r="F108" t="s">
        <v>19</v>
      </c>
      <c r="G108">
        <v>9160</v>
      </c>
      <c r="H108">
        <v>3049</v>
      </c>
      <c r="I108">
        <v>3.59</v>
      </c>
      <c r="J108">
        <v>2</v>
      </c>
      <c r="M108" t="str">
        <f t="shared" ca="1" si="4"/>
        <v/>
      </c>
      <c r="N108" s="3" t="str" cm="1">
        <f t="array" ref="N108">_xlfn.IFS(I108&gt;=3.5,"Excellent",I108&gt;=3,"Good",I108&gt;=2,"Average",I108&lt;2,"Poor")</f>
        <v>Excellent</v>
      </c>
      <c r="P108" t="str">
        <f t="shared" si="5"/>
        <v/>
      </c>
      <c r="Q108">
        <f t="shared" si="6"/>
        <v>738757</v>
      </c>
      <c r="R108">
        <v>2022</v>
      </c>
      <c r="X108">
        <f t="shared" ca="1" si="7"/>
        <v>1248</v>
      </c>
    </row>
    <row r="109" spans="1:24" x14ac:dyDescent="0.25">
      <c r="A109" t="s">
        <v>239</v>
      </c>
      <c r="B109" t="s">
        <v>240</v>
      </c>
      <c r="C109" t="s">
        <v>57</v>
      </c>
      <c r="D109" t="s">
        <v>13</v>
      </c>
      <c r="E109" s="1">
        <v>45019</v>
      </c>
      <c r="F109" t="s">
        <v>14</v>
      </c>
      <c r="G109">
        <v>3268</v>
      </c>
      <c r="H109">
        <v>424</v>
      </c>
      <c r="I109">
        <v>2.85</v>
      </c>
      <c r="J109">
        <v>59</v>
      </c>
      <c r="M109">
        <f t="shared" ca="1" si="4"/>
        <v>830</v>
      </c>
      <c r="N109" s="3" t="str" cm="1">
        <f t="array" ref="N109">_xlfn.IFS(I109&gt;=3.5,"Excellent",I109&gt;=3,"Good",I109&gt;=2,"Average",I109&lt;2,"Poor")</f>
        <v>Average</v>
      </c>
      <c r="P109" t="str">
        <f t="shared" si="5"/>
        <v/>
      </c>
      <c r="Q109">
        <f t="shared" si="6"/>
        <v>738757</v>
      </c>
      <c r="R109">
        <v>2023</v>
      </c>
      <c r="X109" t="str">
        <f t="shared" ca="1" si="7"/>
        <v/>
      </c>
    </row>
    <row r="110" spans="1:24" x14ac:dyDescent="0.25">
      <c r="A110" t="s">
        <v>241</v>
      </c>
      <c r="B110" t="s">
        <v>242</v>
      </c>
      <c r="C110" t="s">
        <v>25</v>
      </c>
      <c r="D110" t="s">
        <v>31</v>
      </c>
      <c r="E110" s="1">
        <v>44932</v>
      </c>
      <c r="F110" t="s">
        <v>14</v>
      </c>
      <c r="G110">
        <v>4636</v>
      </c>
      <c r="H110">
        <v>2544</v>
      </c>
      <c r="I110">
        <v>3.31</v>
      </c>
      <c r="J110">
        <v>60</v>
      </c>
      <c r="M110">
        <f t="shared" ca="1" si="4"/>
        <v>917</v>
      </c>
      <c r="N110" s="3" t="str" cm="1">
        <f t="array" ref="N110">_xlfn.IFS(I110&gt;=3.5,"Excellent",I110&gt;=3,"Good",I110&gt;=2,"Average",I110&lt;2,"Poor")</f>
        <v>Good</v>
      </c>
      <c r="P110" t="str">
        <f t="shared" si="5"/>
        <v>True</v>
      </c>
      <c r="Q110">
        <f t="shared" si="6"/>
        <v>738757</v>
      </c>
      <c r="R110">
        <v>2023</v>
      </c>
      <c r="X110" t="str">
        <f t="shared" ca="1" si="7"/>
        <v/>
      </c>
    </row>
    <row r="111" spans="1:24" x14ac:dyDescent="0.25">
      <c r="A111" t="s">
        <v>243</v>
      </c>
      <c r="B111" t="s">
        <v>244</v>
      </c>
      <c r="C111" t="s">
        <v>28</v>
      </c>
      <c r="D111" t="s">
        <v>31</v>
      </c>
      <c r="E111" s="1">
        <v>45223</v>
      </c>
      <c r="F111" t="s">
        <v>14</v>
      </c>
      <c r="G111">
        <v>10654</v>
      </c>
      <c r="H111">
        <v>4738</v>
      </c>
      <c r="I111">
        <v>2.67</v>
      </c>
      <c r="J111">
        <v>53</v>
      </c>
      <c r="M111">
        <f t="shared" ca="1" si="4"/>
        <v>626</v>
      </c>
      <c r="N111" s="3" t="str" cm="1">
        <f t="array" ref="N111">_xlfn.IFS(I111&gt;=3.5,"Excellent",I111&gt;=3,"Good",I111&gt;=2,"Average",I111&lt;2,"Poor")</f>
        <v>Average</v>
      </c>
      <c r="P111" t="str">
        <f t="shared" si="5"/>
        <v/>
      </c>
      <c r="Q111">
        <f t="shared" si="6"/>
        <v>738757</v>
      </c>
      <c r="R111">
        <v>2023</v>
      </c>
      <c r="X111" t="str">
        <f t="shared" ca="1" si="7"/>
        <v/>
      </c>
    </row>
    <row r="112" spans="1:24" x14ac:dyDescent="0.25">
      <c r="A112" t="s">
        <v>245</v>
      </c>
      <c r="B112" t="s">
        <v>246</v>
      </c>
      <c r="C112" t="s">
        <v>28</v>
      </c>
      <c r="D112" t="s">
        <v>31</v>
      </c>
      <c r="E112" s="1">
        <v>45036</v>
      </c>
      <c r="F112" t="s">
        <v>14</v>
      </c>
      <c r="G112">
        <v>9355</v>
      </c>
      <c r="H112">
        <v>8250</v>
      </c>
      <c r="I112">
        <v>3.02</v>
      </c>
      <c r="J112">
        <v>92</v>
      </c>
      <c r="M112">
        <f t="shared" ca="1" si="4"/>
        <v>813</v>
      </c>
      <c r="N112" s="3" t="str" cm="1">
        <f t="array" ref="N112">_xlfn.IFS(I112&gt;=3.5,"Excellent",I112&gt;=3,"Good",I112&gt;=2,"Average",I112&lt;2,"Poor")</f>
        <v>Good</v>
      </c>
      <c r="P112" t="str">
        <f t="shared" si="5"/>
        <v>True</v>
      </c>
      <c r="Q112">
        <f t="shared" si="6"/>
        <v>738757</v>
      </c>
      <c r="R112">
        <v>2023</v>
      </c>
      <c r="X112" t="str">
        <f t="shared" ca="1" si="7"/>
        <v/>
      </c>
    </row>
    <row r="113" spans="1:24" x14ac:dyDescent="0.25">
      <c r="A113" t="s">
        <v>247</v>
      </c>
      <c r="B113" t="s">
        <v>248</v>
      </c>
      <c r="C113" t="s">
        <v>36</v>
      </c>
      <c r="D113" t="s">
        <v>18</v>
      </c>
      <c r="E113" s="1">
        <v>44864</v>
      </c>
      <c r="F113" t="s">
        <v>14</v>
      </c>
      <c r="G113">
        <v>12309</v>
      </c>
      <c r="H113">
        <v>1062</v>
      </c>
      <c r="I113">
        <v>2.71</v>
      </c>
      <c r="J113">
        <v>116</v>
      </c>
      <c r="M113">
        <f t="shared" ca="1" si="4"/>
        <v>985</v>
      </c>
      <c r="N113" s="3" t="str" cm="1">
        <f t="array" ref="N113">_xlfn.IFS(I113&gt;=3.5,"Excellent",I113&gt;=3,"Good",I113&gt;=2,"Average",I113&lt;2,"Poor")</f>
        <v>Average</v>
      </c>
      <c r="P113" t="str">
        <f t="shared" si="5"/>
        <v/>
      </c>
      <c r="Q113">
        <f t="shared" si="6"/>
        <v>738757</v>
      </c>
      <c r="R113">
        <v>2022</v>
      </c>
      <c r="X113" t="str">
        <f t="shared" ca="1" si="7"/>
        <v/>
      </c>
    </row>
    <row r="114" spans="1:24" x14ac:dyDescent="0.25">
      <c r="A114" t="s">
        <v>249</v>
      </c>
      <c r="B114" t="s">
        <v>250</v>
      </c>
      <c r="C114" t="s">
        <v>25</v>
      </c>
      <c r="D114" t="s">
        <v>31</v>
      </c>
      <c r="E114" s="1">
        <v>45333</v>
      </c>
      <c r="F114" t="s">
        <v>14</v>
      </c>
      <c r="G114">
        <v>8529</v>
      </c>
      <c r="H114">
        <v>5629</v>
      </c>
      <c r="I114">
        <v>3.62</v>
      </c>
      <c r="J114">
        <v>95</v>
      </c>
      <c r="M114">
        <f t="shared" ca="1" si="4"/>
        <v>516</v>
      </c>
      <c r="N114" s="3" t="str" cm="1">
        <f t="array" ref="N114">_xlfn.IFS(I114&gt;=3.5,"Excellent",I114&gt;=3,"Good",I114&gt;=2,"Average",I114&lt;2,"Poor")</f>
        <v>Excellent</v>
      </c>
      <c r="P114" t="str">
        <f t="shared" si="5"/>
        <v>True</v>
      </c>
      <c r="Q114">
        <f t="shared" si="6"/>
        <v>738757</v>
      </c>
      <c r="R114">
        <v>2024</v>
      </c>
      <c r="X114" t="str">
        <f t="shared" ca="1" si="7"/>
        <v/>
      </c>
    </row>
    <row r="115" spans="1:24" x14ac:dyDescent="0.25">
      <c r="A115" t="s">
        <v>251</v>
      </c>
      <c r="B115" t="s">
        <v>252</v>
      </c>
      <c r="C115" t="s">
        <v>12</v>
      </c>
      <c r="D115" t="s">
        <v>62</v>
      </c>
      <c r="E115" s="1">
        <v>44835</v>
      </c>
      <c r="F115" t="s">
        <v>14</v>
      </c>
      <c r="G115">
        <v>7580</v>
      </c>
      <c r="H115">
        <v>7611</v>
      </c>
      <c r="I115">
        <v>3.77</v>
      </c>
      <c r="J115">
        <v>82</v>
      </c>
      <c r="M115">
        <f t="shared" ca="1" si="4"/>
        <v>1014</v>
      </c>
      <c r="N115" s="3" t="str" cm="1">
        <f t="array" ref="N115">_xlfn.IFS(I115&gt;=3.5,"Excellent",I115&gt;=3,"Good",I115&gt;=2,"Average",I115&lt;2,"Poor")</f>
        <v>Excellent</v>
      </c>
      <c r="P115" t="str">
        <f t="shared" si="5"/>
        <v>True</v>
      </c>
      <c r="Q115">
        <f t="shared" si="6"/>
        <v>738757</v>
      </c>
      <c r="R115">
        <v>2022</v>
      </c>
      <c r="X115" t="str">
        <f t="shared" ca="1" si="7"/>
        <v/>
      </c>
    </row>
    <row r="116" spans="1:24" x14ac:dyDescent="0.25">
      <c r="A116" t="s">
        <v>253</v>
      </c>
      <c r="B116" t="s">
        <v>254</v>
      </c>
      <c r="C116" t="s">
        <v>36</v>
      </c>
      <c r="D116" t="s">
        <v>62</v>
      </c>
      <c r="E116" s="1">
        <v>44594</v>
      </c>
      <c r="F116" t="s">
        <v>14</v>
      </c>
      <c r="G116">
        <v>4713</v>
      </c>
      <c r="H116">
        <v>8232</v>
      </c>
      <c r="I116">
        <v>2.87</v>
      </c>
      <c r="J116">
        <v>98</v>
      </c>
      <c r="M116">
        <f t="shared" ca="1" si="4"/>
        <v>1255</v>
      </c>
      <c r="N116" s="3" t="str" cm="1">
        <f t="array" ref="N116">_xlfn.IFS(I116&gt;=3.5,"Excellent",I116&gt;=3,"Good",I116&gt;=2,"Average",I116&lt;2,"Poor")</f>
        <v>Average</v>
      </c>
      <c r="P116" t="str">
        <f t="shared" si="5"/>
        <v>True</v>
      </c>
      <c r="Q116">
        <f t="shared" si="6"/>
        <v>738757</v>
      </c>
      <c r="R116">
        <v>2022</v>
      </c>
      <c r="X116" t="str">
        <f t="shared" ca="1" si="7"/>
        <v/>
      </c>
    </row>
    <row r="117" spans="1:24" x14ac:dyDescent="0.25">
      <c r="A117" t="s">
        <v>255</v>
      </c>
      <c r="B117" t="s">
        <v>256</v>
      </c>
      <c r="C117" t="s">
        <v>12</v>
      </c>
      <c r="D117" t="s">
        <v>18</v>
      </c>
      <c r="E117" s="1">
        <v>44596</v>
      </c>
      <c r="F117" t="s">
        <v>14</v>
      </c>
      <c r="G117">
        <v>9304</v>
      </c>
      <c r="H117">
        <v>1312</v>
      </c>
      <c r="I117">
        <v>2.62</v>
      </c>
      <c r="J117">
        <v>102</v>
      </c>
      <c r="M117">
        <f t="shared" ca="1" si="4"/>
        <v>1253</v>
      </c>
      <c r="N117" s="3" t="str" cm="1">
        <f t="array" ref="N117">_xlfn.IFS(I117&gt;=3.5,"Excellent",I117&gt;=3,"Good",I117&gt;=2,"Average",I117&lt;2,"Poor")</f>
        <v>Average</v>
      </c>
      <c r="P117" t="str">
        <f t="shared" si="5"/>
        <v/>
      </c>
      <c r="Q117">
        <f t="shared" si="6"/>
        <v>738757</v>
      </c>
      <c r="R117">
        <v>2022</v>
      </c>
      <c r="X117" t="str">
        <f t="shared" ca="1" si="7"/>
        <v/>
      </c>
    </row>
    <row r="118" spans="1:24" x14ac:dyDescent="0.25">
      <c r="A118" t="s">
        <v>257</v>
      </c>
      <c r="B118" t="s">
        <v>258</v>
      </c>
      <c r="C118" t="s">
        <v>22</v>
      </c>
      <c r="D118" t="s">
        <v>18</v>
      </c>
      <c r="E118" s="1">
        <v>45369</v>
      </c>
      <c r="F118" t="s">
        <v>14</v>
      </c>
      <c r="G118">
        <v>2599</v>
      </c>
      <c r="H118">
        <v>6425</v>
      </c>
      <c r="I118">
        <v>3.62</v>
      </c>
      <c r="J118">
        <v>5</v>
      </c>
      <c r="M118">
        <f t="shared" ca="1" si="4"/>
        <v>480</v>
      </c>
      <c r="N118" s="3" t="str" cm="1">
        <f t="array" ref="N118">_xlfn.IFS(I118&gt;=3.5,"Excellent",I118&gt;=3,"Good",I118&gt;=2,"Average",I118&lt;2,"Poor")</f>
        <v>Excellent</v>
      </c>
      <c r="P118" t="str">
        <f t="shared" si="5"/>
        <v>True</v>
      </c>
      <c r="Q118">
        <f t="shared" si="6"/>
        <v>738757</v>
      </c>
      <c r="R118">
        <v>2024</v>
      </c>
      <c r="X118" t="str">
        <f t="shared" ca="1" si="7"/>
        <v/>
      </c>
    </row>
    <row r="119" spans="1:24" x14ac:dyDescent="0.25">
      <c r="A119" t="s">
        <v>259</v>
      </c>
      <c r="B119" t="s">
        <v>260</v>
      </c>
      <c r="C119" t="s">
        <v>17</v>
      </c>
      <c r="D119" t="s">
        <v>62</v>
      </c>
      <c r="E119" s="1">
        <v>45202</v>
      </c>
      <c r="F119" t="s">
        <v>14</v>
      </c>
      <c r="G119">
        <v>12572</v>
      </c>
      <c r="H119">
        <v>8587</v>
      </c>
      <c r="I119">
        <v>3.67</v>
      </c>
      <c r="J119">
        <v>14</v>
      </c>
      <c r="M119">
        <f t="shared" ca="1" si="4"/>
        <v>647</v>
      </c>
      <c r="N119" s="3" t="str" cm="1">
        <f t="array" ref="N119">_xlfn.IFS(I119&gt;=3.5,"Excellent",I119&gt;=3,"Good",I119&gt;=2,"Average",I119&lt;2,"Poor")</f>
        <v>Excellent</v>
      </c>
      <c r="P119" t="str">
        <f t="shared" si="5"/>
        <v>True</v>
      </c>
      <c r="Q119">
        <f t="shared" si="6"/>
        <v>738757</v>
      </c>
      <c r="R119">
        <v>2023</v>
      </c>
      <c r="X119" t="str">
        <f t="shared" ca="1" si="7"/>
        <v/>
      </c>
    </row>
    <row r="120" spans="1:24" x14ac:dyDescent="0.25">
      <c r="A120" t="s">
        <v>261</v>
      </c>
      <c r="B120" t="s">
        <v>262</v>
      </c>
      <c r="C120" t="s">
        <v>22</v>
      </c>
      <c r="D120" t="s">
        <v>13</v>
      </c>
      <c r="E120" s="1">
        <v>45350</v>
      </c>
      <c r="F120" t="s">
        <v>14</v>
      </c>
      <c r="G120">
        <v>10736</v>
      </c>
      <c r="H120">
        <v>6508</v>
      </c>
      <c r="I120">
        <v>2.48</v>
      </c>
      <c r="J120">
        <v>21</v>
      </c>
      <c r="M120">
        <f t="shared" ca="1" si="4"/>
        <v>499</v>
      </c>
      <c r="N120" s="3" t="str" cm="1">
        <f t="array" ref="N120">_xlfn.IFS(I120&gt;=3.5,"Excellent",I120&gt;=3,"Good",I120&gt;=2,"Average",I120&lt;2,"Poor")</f>
        <v>Average</v>
      </c>
      <c r="P120" t="str">
        <f t="shared" si="5"/>
        <v>True</v>
      </c>
      <c r="Q120">
        <f t="shared" si="6"/>
        <v>738757</v>
      </c>
      <c r="R120">
        <v>2024</v>
      </c>
      <c r="X120" t="str">
        <f t="shared" ca="1" si="7"/>
        <v/>
      </c>
    </row>
    <row r="121" spans="1:24" x14ac:dyDescent="0.25">
      <c r="A121" t="s">
        <v>263</v>
      </c>
      <c r="B121" t="s">
        <v>264</v>
      </c>
      <c r="C121" t="s">
        <v>54</v>
      </c>
      <c r="D121" t="s">
        <v>31</v>
      </c>
      <c r="E121" s="1">
        <v>44609</v>
      </c>
      <c r="F121" t="s">
        <v>14</v>
      </c>
      <c r="G121">
        <v>11349</v>
      </c>
      <c r="H121">
        <v>8642</v>
      </c>
      <c r="I121">
        <v>3.5</v>
      </c>
      <c r="J121">
        <v>112</v>
      </c>
      <c r="M121">
        <f t="shared" ca="1" si="4"/>
        <v>1240</v>
      </c>
      <c r="N121" s="3" t="str" cm="1">
        <f t="array" ref="N121">_xlfn.IFS(I121&gt;=3.5,"Excellent",I121&gt;=3,"Good",I121&gt;=2,"Average",I121&lt;2,"Poor")</f>
        <v>Excellent</v>
      </c>
      <c r="P121" t="str">
        <f t="shared" si="5"/>
        <v>True</v>
      </c>
      <c r="Q121">
        <f t="shared" si="6"/>
        <v>738757</v>
      </c>
      <c r="R121">
        <v>2022</v>
      </c>
      <c r="X121" t="str">
        <f t="shared" ca="1" si="7"/>
        <v/>
      </c>
    </row>
    <row r="122" spans="1:24" x14ac:dyDescent="0.25">
      <c r="A122" t="s">
        <v>265</v>
      </c>
      <c r="B122" t="s">
        <v>266</v>
      </c>
      <c r="C122" t="s">
        <v>25</v>
      </c>
      <c r="D122" t="s">
        <v>13</v>
      </c>
      <c r="E122" s="1">
        <v>45118</v>
      </c>
      <c r="F122" t="s">
        <v>14</v>
      </c>
      <c r="G122">
        <v>2073</v>
      </c>
      <c r="H122">
        <v>1993</v>
      </c>
      <c r="I122">
        <v>3.62</v>
      </c>
      <c r="J122">
        <v>0</v>
      </c>
      <c r="M122">
        <f t="shared" ca="1" si="4"/>
        <v>731</v>
      </c>
      <c r="N122" s="3" t="str" cm="1">
        <f t="array" ref="N122">_xlfn.IFS(I122&gt;=3.5,"Excellent",I122&gt;=3,"Good",I122&gt;=2,"Average",I122&lt;2,"Poor")</f>
        <v>Excellent</v>
      </c>
      <c r="P122" t="str">
        <f t="shared" si="5"/>
        <v>True</v>
      </c>
      <c r="Q122">
        <f t="shared" si="6"/>
        <v>738757</v>
      </c>
      <c r="R122">
        <v>2023</v>
      </c>
      <c r="X122" t="str">
        <f t="shared" ca="1" si="7"/>
        <v/>
      </c>
    </row>
    <row r="123" spans="1:24" x14ac:dyDescent="0.25">
      <c r="A123" t="s">
        <v>267</v>
      </c>
      <c r="B123" t="s">
        <v>268</v>
      </c>
      <c r="C123" t="s">
        <v>25</v>
      </c>
      <c r="D123" t="s">
        <v>31</v>
      </c>
      <c r="E123" s="1">
        <v>45236</v>
      </c>
      <c r="F123" t="s">
        <v>19</v>
      </c>
      <c r="G123">
        <v>3742</v>
      </c>
      <c r="H123">
        <v>4389</v>
      </c>
      <c r="I123">
        <v>2.67</v>
      </c>
      <c r="J123">
        <v>9</v>
      </c>
      <c r="M123" t="str">
        <f t="shared" ca="1" si="4"/>
        <v/>
      </c>
      <c r="N123" s="3" t="str" cm="1">
        <f t="array" ref="N123">_xlfn.IFS(I123&gt;=3.5,"Excellent",I123&gt;=3,"Good",I123&gt;=2,"Average",I123&lt;2,"Poor")</f>
        <v>Average</v>
      </c>
      <c r="P123" t="str">
        <f t="shared" si="5"/>
        <v>True</v>
      </c>
      <c r="Q123">
        <f t="shared" si="6"/>
        <v>738757</v>
      </c>
      <c r="R123">
        <v>2023</v>
      </c>
      <c r="X123">
        <f t="shared" ca="1" si="7"/>
        <v>613</v>
      </c>
    </row>
    <row r="124" spans="1:24" x14ac:dyDescent="0.25">
      <c r="A124" t="s">
        <v>269</v>
      </c>
      <c r="B124" t="s">
        <v>270</v>
      </c>
      <c r="C124" t="s">
        <v>17</v>
      </c>
      <c r="D124" t="s">
        <v>18</v>
      </c>
      <c r="E124" s="1">
        <v>45299</v>
      </c>
      <c r="F124" t="s">
        <v>14</v>
      </c>
      <c r="G124">
        <v>5954</v>
      </c>
      <c r="H124">
        <v>8075</v>
      </c>
      <c r="I124">
        <v>2.82</v>
      </c>
      <c r="J124">
        <v>57</v>
      </c>
      <c r="M124">
        <f t="shared" ca="1" si="4"/>
        <v>550</v>
      </c>
      <c r="N124" s="3" t="str" cm="1">
        <f t="array" ref="N124">_xlfn.IFS(I124&gt;=3.5,"Excellent",I124&gt;=3,"Good",I124&gt;=2,"Average",I124&lt;2,"Poor")</f>
        <v>Average</v>
      </c>
      <c r="P124" t="str">
        <f t="shared" si="5"/>
        <v>True</v>
      </c>
      <c r="Q124">
        <f t="shared" si="6"/>
        <v>738757</v>
      </c>
      <c r="R124">
        <v>2024</v>
      </c>
      <c r="X124" t="str">
        <f t="shared" ca="1" si="7"/>
        <v/>
      </c>
    </row>
    <row r="125" spans="1:24" x14ac:dyDescent="0.25">
      <c r="A125" t="s">
        <v>271</v>
      </c>
      <c r="B125" t="s">
        <v>272</v>
      </c>
      <c r="C125" t="s">
        <v>17</v>
      </c>
      <c r="D125" t="s">
        <v>13</v>
      </c>
      <c r="E125" s="1">
        <v>45256</v>
      </c>
      <c r="F125" t="s">
        <v>19</v>
      </c>
      <c r="G125">
        <v>5513</v>
      </c>
      <c r="H125">
        <v>1545</v>
      </c>
      <c r="I125">
        <v>2.72</v>
      </c>
      <c r="J125">
        <v>79</v>
      </c>
      <c r="M125" t="str">
        <f t="shared" ca="1" si="4"/>
        <v/>
      </c>
      <c r="N125" s="3" t="str" cm="1">
        <f t="array" ref="N125">_xlfn.IFS(I125&gt;=3.5,"Excellent",I125&gt;=3,"Good",I125&gt;=2,"Average",I125&lt;2,"Poor")</f>
        <v>Average</v>
      </c>
      <c r="P125" t="str">
        <f t="shared" si="5"/>
        <v/>
      </c>
      <c r="Q125">
        <f t="shared" si="6"/>
        <v>738757</v>
      </c>
      <c r="R125">
        <v>2023</v>
      </c>
      <c r="X125">
        <f t="shared" ca="1" si="7"/>
        <v>593</v>
      </c>
    </row>
    <row r="126" spans="1:24" x14ac:dyDescent="0.25">
      <c r="A126" t="s">
        <v>273</v>
      </c>
      <c r="B126" t="s">
        <v>274</v>
      </c>
      <c r="C126" t="s">
        <v>54</v>
      </c>
      <c r="D126" t="s">
        <v>13</v>
      </c>
      <c r="E126" s="1">
        <v>45364</v>
      </c>
      <c r="F126" t="s">
        <v>19</v>
      </c>
      <c r="G126">
        <v>9374</v>
      </c>
      <c r="H126">
        <v>3980</v>
      </c>
      <c r="I126">
        <v>3.9</v>
      </c>
      <c r="J126">
        <v>92</v>
      </c>
      <c r="M126" t="str">
        <f t="shared" ca="1" si="4"/>
        <v/>
      </c>
      <c r="N126" s="3" t="str" cm="1">
        <f t="array" ref="N126">_xlfn.IFS(I126&gt;=3.5,"Excellent",I126&gt;=3,"Good",I126&gt;=2,"Average",I126&lt;2,"Poor")</f>
        <v>Excellent</v>
      </c>
      <c r="P126" t="str">
        <f t="shared" si="5"/>
        <v/>
      </c>
      <c r="Q126">
        <f t="shared" si="6"/>
        <v>738757</v>
      </c>
      <c r="R126">
        <v>2024</v>
      </c>
      <c r="X126">
        <f t="shared" ca="1" si="7"/>
        <v>485</v>
      </c>
    </row>
    <row r="127" spans="1:24" x14ac:dyDescent="0.25">
      <c r="A127" t="s">
        <v>275</v>
      </c>
      <c r="B127" t="s">
        <v>276</v>
      </c>
      <c r="C127" t="s">
        <v>54</v>
      </c>
      <c r="D127" t="s">
        <v>62</v>
      </c>
      <c r="E127" s="1">
        <v>44825</v>
      </c>
      <c r="F127" t="s">
        <v>14</v>
      </c>
      <c r="G127">
        <v>13694</v>
      </c>
      <c r="H127">
        <v>5031</v>
      </c>
      <c r="I127">
        <v>2.2400000000000002</v>
      </c>
      <c r="J127">
        <v>42</v>
      </c>
      <c r="M127">
        <f t="shared" ca="1" si="4"/>
        <v>1024</v>
      </c>
      <c r="N127" s="3" t="str" cm="1">
        <f t="array" ref="N127">_xlfn.IFS(I127&gt;=3.5,"Excellent",I127&gt;=3,"Good",I127&gt;=2,"Average",I127&lt;2,"Poor")</f>
        <v>Average</v>
      </c>
      <c r="P127" t="str">
        <f t="shared" si="5"/>
        <v/>
      </c>
      <c r="Q127">
        <f t="shared" si="6"/>
        <v>738757</v>
      </c>
      <c r="R127">
        <v>2022</v>
      </c>
      <c r="X127" t="str">
        <f t="shared" ca="1" si="7"/>
        <v/>
      </c>
    </row>
    <row r="128" spans="1:24" x14ac:dyDescent="0.25">
      <c r="A128" t="s">
        <v>277</v>
      </c>
      <c r="B128" t="s">
        <v>278</v>
      </c>
      <c r="C128" t="s">
        <v>28</v>
      </c>
      <c r="D128" t="s">
        <v>62</v>
      </c>
      <c r="E128" s="1">
        <v>45271</v>
      </c>
      <c r="F128" t="s">
        <v>19</v>
      </c>
      <c r="G128">
        <v>7401</v>
      </c>
      <c r="H128">
        <v>5862</v>
      </c>
      <c r="I128">
        <v>3.24</v>
      </c>
      <c r="J128">
        <v>1</v>
      </c>
      <c r="M128" t="str">
        <f t="shared" ca="1" si="4"/>
        <v/>
      </c>
      <c r="N128" s="3" t="str" cm="1">
        <f t="array" ref="N128">_xlfn.IFS(I128&gt;=3.5,"Excellent",I128&gt;=3,"Good",I128&gt;=2,"Average",I128&lt;2,"Poor")</f>
        <v>Good</v>
      </c>
      <c r="P128" t="str">
        <f t="shared" si="5"/>
        <v>True</v>
      </c>
      <c r="Q128">
        <f t="shared" si="6"/>
        <v>738757</v>
      </c>
      <c r="R128">
        <v>2023</v>
      </c>
      <c r="X128">
        <f t="shared" ca="1" si="7"/>
        <v>578</v>
      </c>
    </row>
    <row r="129" spans="1:24" x14ac:dyDescent="0.25">
      <c r="A129" t="s">
        <v>279</v>
      </c>
      <c r="B129" t="s">
        <v>280</v>
      </c>
      <c r="C129" t="s">
        <v>28</v>
      </c>
      <c r="D129" t="s">
        <v>31</v>
      </c>
      <c r="E129" s="1">
        <v>45379</v>
      </c>
      <c r="F129" t="s">
        <v>14</v>
      </c>
      <c r="G129">
        <v>10718</v>
      </c>
      <c r="H129">
        <v>5162</v>
      </c>
      <c r="I129">
        <v>3.21</v>
      </c>
      <c r="J129">
        <v>32</v>
      </c>
      <c r="M129">
        <f t="shared" ca="1" si="4"/>
        <v>470</v>
      </c>
      <c r="N129" s="3" t="str" cm="1">
        <f t="array" ref="N129">_xlfn.IFS(I129&gt;=3.5,"Excellent",I129&gt;=3,"Good",I129&gt;=2,"Average",I129&lt;2,"Poor")</f>
        <v>Good</v>
      </c>
      <c r="P129" t="str">
        <f t="shared" si="5"/>
        <v/>
      </c>
      <c r="Q129">
        <f t="shared" si="6"/>
        <v>738757</v>
      </c>
      <c r="R129">
        <v>2024</v>
      </c>
      <c r="X129" t="str">
        <f t="shared" ca="1" si="7"/>
        <v/>
      </c>
    </row>
    <row r="130" spans="1:24" x14ac:dyDescent="0.25">
      <c r="A130" t="s">
        <v>281</v>
      </c>
      <c r="B130" t="s">
        <v>282</v>
      </c>
      <c r="C130" t="s">
        <v>36</v>
      </c>
      <c r="D130" t="s">
        <v>31</v>
      </c>
      <c r="E130" s="1">
        <v>44619</v>
      </c>
      <c r="F130" t="s">
        <v>14</v>
      </c>
      <c r="G130">
        <v>8809</v>
      </c>
      <c r="H130">
        <v>7719</v>
      </c>
      <c r="I130">
        <v>2.92</v>
      </c>
      <c r="J130">
        <v>39</v>
      </c>
      <c r="M130">
        <f t="shared" ca="1" si="4"/>
        <v>1230</v>
      </c>
      <c r="N130" s="3" t="str" cm="1">
        <f t="array" ref="N130">_xlfn.IFS(I130&gt;=3.5,"Excellent",I130&gt;=3,"Good",I130&gt;=2,"Average",I130&lt;2,"Poor")</f>
        <v>Average</v>
      </c>
      <c r="P130" t="str">
        <f t="shared" si="5"/>
        <v>True</v>
      </c>
      <c r="Q130">
        <f t="shared" si="6"/>
        <v>738757</v>
      </c>
      <c r="R130">
        <v>2022</v>
      </c>
      <c r="X130" t="str">
        <f t="shared" ca="1" si="7"/>
        <v/>
      </c>
    </row>
    <row r="131" spans="1:24" x14ac:dyDescent="0.25">
      <c r="A131" t="s">
        <v>283</v>
      </c>
      <c r="B131" t="s">
        <v>284</v>
      </c>
      <c r="C131" t="s">
        <v>25</v>
      </c>
      <c r="D131" t="s">
        <v>62</v>
      </c>
      <c r="E131" s="1">
        <v>45037</v>
      </c>
      <c r="F131" t="s">
        <v>39</v>
      </c>
      <c r="G131">
        <v>5590</v>
      </c>
      <c r="H131">
        <v>9943</v>
      </c>
      <c r="I131">
        <v>2.37</v>
      </c>
      <c r="J131">
        <v>4</v>
      </c>
      <c r="M131" t="str">
        <f t="shared" ref="M131:M194" ca="1" si="8">IF(F131="Enrolled",TODAY()-E131,"")</f>
        <v/>
      </c>
      <c r="N131" s="3" t="str" cm="1">
        <f t="array" ref="N131">_xlfn.IFS(I131&gt;=3.5,"Excellent",I131&gt;=3,"Good",I131&gt;=2,"Average",I131&lt;2,"Poor")</f>
        <v>Average</v>
      </c>
      <c r="P131" t="str">
        <f t="shared" ref="P131:P194" si="9">IF(H131&gt;0.5*G131,"True","")</f>
        <v>True</v>
      </c>
      <c r="Q131">
        <f t="shared" ref="Q131:Q194" si="10">SUMIFS(G131:G1330,F131:F1330,"Completed",D131:D1330,"Science")</f>
        <v>738757</v>
      </c>
      <c r="R131">
        <v>2023</v>
      </c>
      <c r="X131" t="str">
        <f t="shared" ref="X131:X194" ca="1" si="11">IF(F131="Completed",TODAY()-E131,"")</f>
        <v/>
      </c>
    </row>
    <row r="132" spans="1:24" x14ac:dyDescent="0.25">
      <c r="A132" t="s">
        <v>285</v>
      </c>
      <c r="B132" t="s">
        <v>286</v>
      </c>
      <c r="C132" t="s">
        <v>36</v>
      </c>
      <c r="D132" t="s">
        <v>31</v>
      </c>
      <c r="E132" s="1">
        <v>44714</v>
      </c>
      <c r="F132" t="s">
        <v>19</v>
      </c>
      <c r="G132">
        <v>4728</v>
      </c>
      <c r="H132">
        <v>2909</v>
      </c>
      <c r="I132">
        <v>3.64</v>
      </c>
      <c r="J132">
        <v>39</v>
      </c>
      <c r="M132" t="str">
        <f t="shared" ca="1" si="8"/>
        <v/>
      </c>
      <c r="N132" s="3" t="str" cm="1">
        <f t="array" ref="N132">_xlfn.IFS(I132&gt;=3.5,"Excellent",I132&gt;=3,"Good",I132&gt;=2,"Average",I132&lt;2,"Poor")</f>
        <v>Excellent</v>
      </c>
      <c r="P132" t="str">
        <f t="shared" si="9"/>
        <v>True</v>
      </c>
      <c r="Q132">
        <f t="shared" si="10"/>
        <v>738757</v>
      </c>
      <c r="R132">
        <v>2022</v>
      </c>
      <c r="X132">
        <f t="shared" ca="1" si="11"/>
        <v>1135</v>
      </c>
    </row>
    <row r="133" spans="1:24" x14ac:dyDescent="0.25">
      <c r="A133" t="s">
        <v>287</v>
      </c>
      <c r="B133" t="s">
        <v>288</v>
      </c>
      <c r="C133" t="s">
        <v>28</v>
      </c>
      <c r="D133" t="s">
        <v>31</v>
      </c>
      <c r="E133" s="1">
        <v>44689</v>
      </c>
      <c r="F133" t="s">
        <v>19</v>
      </c>
      <c r="G133">
        <v>9469</v>
      </c>
      <c r="H133">
        <v>6841</v>
      </c>
      <c r="I133">
        <v>2.94</v>
      </c>
      <c r="J133">
        <v>53</v>
      </c>
      <c r="M133" t="str">
        <f t="shared" ca="1" si="8"/>
        <v/>
      </c>
      <c r="N133" s="3" t="str" cm="1">
        <f t="array" ref="N133">_xlfn.IFS(I133&gt;=3.5,"Excellent",I133&gt;=3,"Good",I133&gt;=2,"Average",I133&lt;2,"Poor")</f>
        <v>Average</v>
      </c>
      <c r="P133" t="str">
        <f t="shared" si="9"/>
        <v>True</v>
      </c>
      <c r="Q133">
        <f t="shared" si="10"/>
        <v>738757</v>
      </c>
      <c r="R133">
        <v>2022</v>
      </c>
      <c r="X133">
        <f t="shared" ca="1" si="11"/>
        <v>1160</v>
      </c>
    </row>
    <row r="134" spans="1:24" x14ac:dyDescent="0.25">
      <c r="A134" t="s">
        <v>289</v>
      </c>
      <c r="B134" t="s">
        <v>290</v>
      </c>
      <c r="C134" t="s">
        <v>57</v>
      </c>
      <c r="D134" t="s">
        <v>62</v>
      </c>
      <c r="E134" s="1">
        <v>44773</v>
      </c>
      <c r="F134" t="s">
        <v>14</v>
      </c>
      <c r="G134">
        <v>10140</v>
      </c>
      <c r="H134">
        <v>8620</v>
      </c>
      <c r="I134">
        <v>3.6</v>
      </c>
      <c r="J134">
        <v>115</v>
      </c>
      <c r="M134">
        <f t="shared" ca="1" si="8"/>
        <v>1076</v>
      </c>
      <c r="N134" s="3" t="str" cm="1">
        <f t="array" ref="N134">_xlfn.IFS(I134&gt;=3.5,"Excellent",I134&gt;=3,"Good",I134&gt;=2,"Average",I134&lt;2,"Poor")</f>
        <v>Excellent</v>
      </c>
      <c r="P134" t="str">
        <f t="shared" si="9"/>
        <v>True</v>
      </c>
      <c r="Q134">
        <f t="shared" si="10"/>
        <v>738757</v>
      </c>
      <c r="R134">
        <v>2022</v>
      </c>
      <c r="X134" t="str">
        <f t="shared" ca="1" si="11"/>
        <v/>
      </c>
    </row>
    <row r="135" spans="1:24" x14ac:dyDescent="0.25">
      <c r="A135" t="s">
        <v>291</v>
      </c>
      <c r="B135" t="s">
        <v>292</v>
      </c>
      <c r="C135" t="s">
        <v>36</v>
      </c>
      <c r="D135" t="s">
        <v>31</v>
      </c>
      <c r="E135" s="1">
        <v>45307</v>
      </c>
      <c r="F135" t="s">
        <v>14</v>
      </c>
      <c r="G135">
        <v>9766</v>
      </c>
      <c r="H135">
        <v>5059</v>
      </c>
      <c r="I135">
        <v>3.41</v>
      </c>
      <c r="J135">
        <v>56</v>
      </c>
      <c r="M135">
        <f t="shared" ca="1" si="8"/>
        <v>542</v>
      </c>
      <c r="N135" s="3" t="str" cm="1">
        <f t="array" ref="N135">_xlfn.IFS(I135&gt;=3.5,"Excellent",I135&gt;=3,"Good",I135&gt;=2,"Average",I135&lt;2,"Poor")</f>
        <v>Good</v>
      </c>
      <c r="P135" t="str">
        <f t="shared" si="9"/>
        <v>True</v>
      </c>
      <c r="Q135">
        <f t="shared" si="10"/>
        <v>738757</v>
      </c>
      <c r="R135">
        <v>2024</v>
      </c>
      <c r="X135" t="str">
        <f t="shared" ca="1" si="11"/>
        <v/>
      </c>
    </row>
    <row r="136" spans="1:24" x14ac:dyDescent="0.25">
      <c r="A136" t="s">
        <v>293</v>
      </c>
      <c r="B136" t="s">
        <v>294</v>
      </c>
      <c r="C136" t="s">
        <v>22</v>
      </c>
      <c r="D136" t="s">
        <v>31</v>
      </c>
      <c r="E136" s="1">
        <v>45259</v>
      </c>
      <c r="F136" t="s">
        <v>19</v>
      </c>
      <c r="G136">
        <v>3860</v>
      </c>
      <c r="H136">
        <v>8811</v>
      </c>
      <c r="I136">
        <v>3.15</v>
      </c>
      <c r="J136">
        <v>103</v>
      </c>
      <c r="M136" t="str">
        <f t="shared" ca="1" si="8"/>
        <v/>
      </c>
      <c r="N136" s="3" t="str" cm="1">
        <f t="array" ref="N136">_xlfn.IFS(I136&gt;=3.5,"Excellent",I136&gt;=3,"Good",I136&gt;=2,"Average",I136&lt;2,"Poor")</f>
        <v>Good</v>
      </c>
      <c r="P136" t="str">
        <f t="shared" si="9"/>
        <v>True</v>
      </c>
      <c r="Q136">
        <f t="shared" si="10"/>
        <v>738757</v>
      </c>
      <c r="R136">
        <v>2023</v>
      </c>
      <c r="X136">
        <f t="shared" ca="1" si="11"/>
        <v>590</v>
      </c>
    </row>
    <row r="137" spans="1:24" x14ac:dyDescent="0.25">
      <c r="A137" t="s">
        <v>295</v>
      </c>
      <c r="B137" t="s">
        <v>296</v>
      </c>
      <c r="C137" t="s">
        <v>17</v>
      </c>
      <c r="D137" t="s">
        <v>13</v>
      </c>
      <c r="E137" s="1">
        <v>45109</v>
      </c>
      <c r="F137" t="s">
        <v>19</v>
      </c>
      <c r="G137">
        <v>7810</v>
      </c>
      <c r="H137">
        <v>857</v>
      </c>
      <c r="I137">
        <v>3.97</v>
      </c>
      <c r="J137">
        <v>63</v>
      </c>
      <c r="M137" t="str">
        <f t="shared" ca="1" si="8"/>
        <v/>
      </c>
      <c r="N137" s="3" t="str" cm="1">
        <f t="array" ref="N137">_xlfn.IFS(I137&gt;=3.5,"Excellent",I137&gt;=3,"Good",I137&gt;=2,"Average",I137&lt;2,"Poor")</f>
        <v>Excellent</v>
      </c>
      <c r="P137" t="str">
        <f t="shared" si="9"/>
        <v/>
      </c>
      <c r="Q137">
        <f t="shared" si="10"/>
        <v>738757</v>
      </c>
      <c r="R137">
        <v>2023</v>
      </c>
      <c r="X137">
        <f t="shared" ca="1" si="11"/>
        <v>740</v>
      </c>
    </row>
    <row r="138" spans="1:24" x14ac:dyDescent="0.25">
      <c r="A138" t="s">
        <v>297</v>
      </c>
      <c r="B138" t="s">
        <v>298</v>
      </c>
      <c r="C138" t="s">
        <v>28</v>
      </c>
      <c r="D138" t="s">
        <v>31</v>
      </c>
      <c r="E138" s="1">
        <v>45364</v>
      </c>
      <c r="F138" t="s">
        <v>39</v>
      </c>
      <c r="G138">
        <v>2993</v>
      </c>
      <c r="H138">
        <v>1240</v>
      </c>
      <c r="I138">
        <v>3.79</v>
      </c>
      <c r="J138">
        <v>111</v>
      </c>
      <c r="M138" t="str">
        <f t="shared" ca="1" si="8"/>
        <v/>
      </c>
      <c r="N138" s="3" t="str" cm="1">
        <f t="array" ref="N138">_xlfn.IFS(I138&gt;=3.5,"Excellent",I138&gt;=3,"Good",I138&gt;=2,"Average",I138&lt;2,"Poor")</f>
        <v>Excellent</v>
      </c>
      <c r="P138" t="str">
        <f t="shared" si="9"/>
        <v/>
      </c>
      <c r="Q138">
        <f t="shared" si="10"/>
        <v>738757</v>
      </c>
      <c r="R138">
        <v>2024</v>
      </c>
      <c r="X138" t="str">
        <f t="shared" ca="1" si="11"/>
        <v/>
      </c>
    </row>
    <row r="139" spans="1:24" x14ac:dyDescent="0.25">
      <c r="A139" t="s">
        <v>299</v>
      </c>
      <c r="B139" t="s">
        <v>300</v>
      </c>
      <c r="C139" t="s">
        <v>28</v>
      </c>
      <c r="D139" t="s">
        <v>18</v>
      </c>
      <c r="E139" s="1">
        <v>44745</v>
      </c>
      <c r="F139" t="s">
        <v>14</v>
      </c>
      <c r="G139">
        <v>2004</v>
      </c>
      <c r="H139">
        <v>965</v>
      </c>
      <c r="I139">
        <v>3.84</v>
      </c>
      <c r="J139">
        <v>87</v>
      </c>
      <c r="M139">
        <f t="shared" ca="1" si="8"/>
        <v>1104</v>
      </c>
      <c r="N139" s="3" t="str" cm="1">
        <f t="array" ref="N139">_xlfn.IFS(I139&gt;=3.5,"Excellent",I139&gt;=3,"Good",I139&gt;=2,"Average",I139&lt;2,"Poor")</f>
        <v>Excellent</v>
      </c>
      <c r="P139" t="str">
        <f t="shared" si="9"/>
        <v/>
      </c>
      <c r="Q139">
        <f t="shared" si="10"/>
        <v>738757</v>
      </c>
      <c r="R139">
        <v>2022</v>
      </c>
      <c r="X139" t="str">
        <f t="shared" ca="1" si="11"/>
        <v/>
      </c>
    </row>
    <row r="140" spans="1:24" x14ac:dyDescent="0.25">
      <c r="A140" t="s">
        <v>301</v>
      </c>
      <c r="B140" t="s">
        <v>302</v>
      </c>
      <c r="C140" t="s">
        <v>57</v>
      </c>
      <c r="D140" t="s">
        <v>13</v>
      </c>
      <c r="E140" s="1">
        <v>44756</v>
      </c>
      <c r="F140" t="s">
        <v>39</v>
      </c>
      <c r="G140">
        <v>8745</v>
      </c>
      <c r="H140">
        <v>7279</v>
      </c>
      <c r="I140">
        <v>2.97</v>
      </c>
      <c r="J140">
        <v>31</v>
      </c>
      <c r="M140" t="str">
        <f t="shared" ca="1" si="8"/>
        <v/>
      </c>
      <c r="N140" s="3" t="str" cm="1">
        <f t="array" ref="N140">_xlfn.IFS(I140&gt;=3.5,"Excellent",I140&gt;=3,"Good",I140&gt;=2,"Average",I140&lt;2,"Poor")</f>
        <v>Average</v>
      </c>
      <c r="P140" t="str">
        <f t="shared" si="9"/>
        <v>True</v>
      </c>
      <c r="Q140">
        <f t="shared" si="10"/>
        <v>738757</v>
      </c>
      <c r="R140">
        <v>2022</v>
      </c>
      <c r="X140" t="str">
        <f t="shared" ca="1" si="11"/>
        <v/>
      </c>
    </row>
    <row r="141" spans="1:24" x14ac:dyDescent="0.25">
      <c r="A141" t="s">
        <v>303</v>
      </c>
      <c r="B141" t="s">
        <v>304</v>
      </c>
      <c r="C141" t="s">
        <v>36</v>
      </c>
      <c r="D141" t="s">
        <v>18</v>
      </c>
      <c r="E141" s="1">
        <v>44631</v>
      </c>
      <c r="F141" t="s">
        <v>14</v>
      </c>
      <c r="G141">
        <v>13687</v>
      </c>
      <c r="H141">
        <v>366</v>
      </c>
      <c r="I141">
        <v>3.07</v>
      </c>
      <c r="J141">
        <v>39</v>
      </c>
      <c r="M141">
        <f t="shared" ca="1" si="8"/>
        <v>1218</v>
      </c>
      <c r="N141" s="3" t="str" cm="1">
        <f t="array" ref="N141">_xlfn.IFS(I141&gt;=3.5,"Excellent",I141&gt;=3,"Good",I141&gt;=2,"Average",I141&lt;2,"Poor")</f>
        <v>Good</v>
      </c>
      <c r="P141" t="str">
        <f t="shared" si="9"/>
        <v/>
      </c>
      <c r="Q141">
        <f t="shared" si="10"/>
        <v>738757</v>
      </c>
      <c r="R141">
        <v>2022</v>
      </c>
      <c r="X141" t="str">
        <f t="shared" ca="1" si="11"/>
        <v/>
      </c>
    </row>
    <row r="142" spans="1:24" x14ac:dyDescent="0.25">
      <c r="A142" t="s">
        <v>305</v>
      </c>
      <c r="B142" t="s">
        <v>306</v>
      </c>
      <c r="C142" t="s">
        <v>54</v>
      </c>
      <c r="D142" t="s">
        <v>13</v>
      </c>
      <c r="E142" s="1">
        <v>44766</v>
      </c>
      <c r="F142" t="s">
        <v>14</v>
      </c>
      <c r="G142">
        <v>14018</v>
      </c>
      <c r="H142">
        <v>463</v>
      </c>
      <c r="I142">
        <v>2.0699999999999998</v>
      </c>
      <c r="J142">
        <v>33</v>
      </c>
      <c r="M142">
        <f t="shared" ca="1" si="8"/>
        <v>1083</v>
      </c>
      <c r="N142" s="3" t="str" cm="1">
        <f t="array" ref="N142">_xlfn.IFS(I142&gt;=3.5,"Excellent",I142&gt;=3,"Good",I142&gt;=2,"Average",I142&lt;2,"Poor")</f>
        <v>Average</v>
      </c>
      <c r="P142" t="str">
        <f t="shared" si="9"/>
        <v/>
      </c>
      <c r="Q142">
        <f t="shared" si="10"/>
        <v>738757</v>
      </c>
      <c r="R142">
        <v>2022</v>
      </c>
      <c r="X142" t="str">
        <f t="shared" ca="1" si="11"/>
        <v/>
      </c>
    </row>
    <row r="143" spans="1:24" x14ac:dyDescent="0.25">
      <c r="A143" t="s">
        <v>307</v>
      </c>
      <c r="B143" t="s">
        <v>308</v>
      </c>
      <c r="C143" t="s">
        <v>57</v>
      </c>
      <c r="D143" t="s">
        <v>31</v>
      </c>
      <c r="E143" s="1">
        <v>44841</v>
      </c>
      <c r="F143" t="s">
        <v>14</v>
      </c>
      <c r="G143">
        <v>9817</v>
      </c>
      <c r="H143">
        <v>5564</v>
      </c>
      <c r="I143">
        <v>2.57</v>
      </c>
      <c r="J143">
        <v>48</v>
      </c>
      <c r="M143">
        <f t="shared" ca="1" si="8"/>
        <v>1008</v>
      </c>
      <c r="N143" s="3" t="str" cm="1">
        <f t="array" ref="N143">_xlfn.IFS(I143&gt;=3.5,"Excellent",I143&gt;=3,"Good",I143&gt;=2,"Average",I143&lt;2,"Poor")</f>
        <v>Average</v>
      </c>
      <c r="P143" t="str">
        <f t="shared" si="9"/>
        <v>True</v>
      </c>
      <c r="Q143">
        <f t="shared" si="10"/>
        <v>738757</v>
      </c>
      <c r="R143">
        <v>2022</v>
      </c>
      <c r="X143" t="str">
        <f t="shared" ca="1" si="11"/>
        <v/>
      </c>
    </row>
    <row r="144" spans="1:24" x14ac:dyDescent="0.25">
      <c r="A144" t="s">
        <v>309</v>
      </c>
      <c r="B144" t="s">
        <v>310</v>
      </c>
      <c r="C144" t="s">
        <v>28</v>
      </c>
      <c r="D144" t="s">
        <v>13</v>
      </c>
      <c r="E144" s="1">
        <v>45000</v>
      </c>
      <c r="F144" t="s">
        <v>19</v>
      </c>
      <c r="G144">
        <v>13150</v>
      </c>
      <c r="H144">
        <v>5003</v>
      </c>
      <c r="I144">
        <v>2.38</v>
      </c>
      <c r="J144">
        <v>87</v>
      </c>
      <c r="M144" t="str">
        <f t="shared" ca="1" si="8"/>
        <v/>
      </c>
      <c r="N144" s="3" t="str" cm="1">
        <f t="array" ref="N144">_xlfn.IFS(I144&gt;=3.5,"Excellent",I144&gt;=3,"Good",I144&gt;=2,"Average",I144&lt;2,"Poor")</f>
        <v>Average</v>
      </c>
      <c r="P144" t="str">
        <f t="shared" si="9"/>
        <v/>
      </c>
      <c r="Q144">
        <f t="shared" si="10"/>
        <v>738757</v>
      </c>
      <c r="R144">
        <v>2023</v>
      </c>
      <c r="X144">
        <f t="shared" ca="1" si="11"/>
        <v>849</v>
      </c>
    </row>
    <row r="145" spans="1:24" x14ac:dyDescent="0.25">
      <c r="A145" t="s">
        <v>311</v>
      </c>
      <c r="B145" t="s">
        <v>312</v>
      </c>
      <c r="C145" t="s">
        <v>28</v>
      </c>
      <c r="D145" t="s">
        <v>13</v>
      </c>
      <c r="E145" s="1">
        <v>45123</v>
      </c>
      <c r="F145" t="s">
        <v>19</v>
      </c>
      <c r="G145">
        <v>14774</v>
      </c>
      <c r="H145">
        <v>3722</v>
      </c>
      <c r="I145">
        <v>3.78</v>
      </c>
      <c r="J145">
        <v>106</v>
      </c>
      <c r="M145" t="str">
        <f t="shared" ca="1" si="8"/>
        <v/>
      </c>
      <c r="N145" s="3" t="str" cm="1">
        <f t="array" ref="N145">_xlfn.IFS(I145&gt;=3.5,"Excellent",I145&gt;=3,"Good",I145&gt;=2,"Average",I145&lt;2,"Poor")</f>
        <v>Excellent</v>
      </c>
      <c r="P145" t="str">
        <f t="shared" si="9"/>
        <v/>
      </c>
      <c r="Q145">
        <f t="shared" si="10"/>
        <v>738757</v>
      </c>
      <c r="R145">
        <v>2023</v>
      </c>
      <c r="X145">
        <f t="shared" ca="1" si="11"/>
        <v>726</v>
      </c>
    </row>
    <row r="146" spans="1:24" x14ac:dyDescent="0.25">
      <c r="A146" t="s">
        <v>313</v>
      </c>
      <c r="B146" t="s">
        <v>314</v>
      </c>
      <c r="C146" t="s">
        <v>36</v>
      </c>
      <c r="D146" t="s">
        <v>31</v>
      </c>
      <c r="E146" s="1">
        <v>45368</v>
      </c>
      <c r="F146" t="s">
        <v>14</v>
      </c>
      <c r="G146">
        <v>5340</v>
      </c>
      <c r="H146">
        <v>8997</v>
      </c>
      <c r="I146">
        <v>2.54</v>
      </c>
      <c r="J146">
        <v>59</v>
      </c>
      <c r="M146">
        <f t="shared" ca="1" si="8"/>
        <v>481</v>
      </c>
      <c r="N146" s="3" t="str" cm="1">
        <f t="array" ref="N146">_xlfn.IFS(I146&gt;=3.5,"Excellent",I146&gt;=3,"Good",I146&gt;=2,"Average",I146&lt;2,"Poor")</f>
        <v>Average</v>
      </c>
      <c r="P146" t="str">
        <f t="shared" si="9"/>
        <v>True</v>
      </c>
      <c r="Q146">
        <f t="shared" si="10"/>
        <v>738757</v>
      </c>
      <c r="R146">
        <v>2024</v>
      </c>
      <c r="X146" t="str">
        <f t="shared" ca="1" si="11"/>
        <v/>
      </c>
    </row>
    <row r="147" spans="1:24" x14ac:dyDescent="0.25">
      <c r="A147" t="s">
        <v>315</v>
      </c>
      <c r="B147" t="s">
        <v>316</v>
      </c>
      <c r="C147" t="s">
        <v>22</v>
      </c>
      <c r="D147" t="s">
        <v>31</v>
      </c>
      <c r="E147" s="1">
        <v>44579</v>
      </c>
      <c r="F147" t="s">
        <v>19</v>
      </c>
      <c r="G147">
        <v>12094</v>
      </c>
      <c r="H147">
        <v>3403</v>
      </c>
      <c r="I147">
        <v>2.27</v>
      </c>
      <c r="J147">
        <v>69</v>
      </c>
      <c r="M147" t="str">
        <f t="shared" ca="1" si="8"/>
        <v/>
      </c>
      <c r="N147" s="3" t="str" cm="1">
        <f t="array" ref="N147">_xlfn.IFS(I147&gt;=3.5,"Excellent",I147&gt;=3,"Good",I147&gt;=2,"Average",I147&lt;2,"Poor")</f>
        <v>Average</v>
      </c>
      <c r="P147" t="str">
        <f t="shared" si="9"/>
        <v/>
      </c>
      <c r="Q147">
        <f t="shared" si="10"/>
        <v>738757</v>
      </c>
      <c r="R147">
        <v>2022</v>
      </c>
      <c r="X147">
        <f t="shared" ca="1" si="11"/>
        <v>1270</v>
      </c>
    </row>
    <row r="148" spans="1:24" x14ac:dyDescent="0.25">
      <c r="A148" t="s">
        <v>317</v>
      </c>
      <c r="B148" t="s">
        <v>318</v>
      </c>
      <c r="C148" t="s">
        <v>54</v>
      </c>
      <c r="D148" t="s">
        <v>13</v>
      </c>
      <c r="E148" s="1">
        <v>45014</v>
      </c>
      <c r="F148" t="s">
        <v>14</v>
      </c>
      <c r="G148">
        <v>14344</v>
      </c>
      <c r="H148">
        <v>1358</v>
      </c>
      <c r="I148">
        <v>3.34</v>
      </c>
      <c r="J148">
        <v>3</v>
      </c>
      <c r="M148">
        <f t="shared" ca="1" si="8"/>
        <v>835</v>
      </c>
      <c r="N148" s="3" t="str" cm="1">
        <f t="array" ref="N148">_xlfn.IFS(I148&gt;=3.5,"Excellent",I148&gt;=3,"Good",I148&gt;=2,"Average",I148&lt;2,"Poor")</f>
        <v>Good</v>
      </c>
      <c r="P148" t="str">
        <f t="shared" si="9"/>
        <v/>
      </c>
      <c r="Q148">
        <f t="shared" si="10"/>
        <v>738757</v>
      </c>
      <c r="R148">
        <v>2023</v>
      </c>
      <c r="X148" t="str">
        <f t="shared" ca="1" si="11"/>
        <v/>
      </c>
    </row>
    <row r="149" spans="1:24" x14ac:dyDescent="0.25">
      <c r="A149" t="s">
        <v>319</v>
      </c>
      <c r="B149" t="s">
        <v>320</v>
      </c>
      <c r="C149" t="s">
        <v>54</v>
      </c>
      <c r="D149" t="s">
        <v>18</v>
      </c>
      <c r="E149" s="1">
        <v>44794</v>
      </c>
      <c r="F149" t="s">
        <v>14</v>
      </c>
      <c r="G149">
        <v>7247</v>
      </c>
      <c r="H149">
        <v>6919</v>
      </c>
      <c r="I149">
        <v>2.27</v>
      </c>
      <c r="J149">
        <v>109</v>
      </c>
      <c r="M149">
        <f t="shared" ca="1" si="8"/>
        <v>1055</v>
      </c>
      <c r="N149" s="3" t="str" cm="1">
        <f t="array" ref="N149">_xlfn.IFS(I149&gt;=3.5,"Excellent",I149&gt;=3,"Good",I149&gt;=2,"Average",I149&lt;2,"Poor")</f>
        <v>Average</v>
      </c>
      <c r="P149" t="str">
        <f t="shared" si="9"/>
        <v>True</v>
      </c>
      <c r="Q149">
        <f t="shared" si="10"/>
        <v>738757</v>
      </c>
      <c r="R149">
        <v>2022</v>
      </c>
      <c r="X149" t="str">
        <f t="shared" ca="1" si="11"/>
        <v/>
      </c>
    </row>
    <row r="150" spans="1:24" x14ac:dyDescent="0.25">
      <c r="A150" t="s">
        <v>321</v>
      </c>
      <c r="B150" t="s">
        <v>322</v>
      </c>
      <c r="C150" t="s">
        <v>36</v>
      </c>
      <c r="D150" t="s">
        <v>62</v>
      </c>
      <c r="E150" s="1">
        <v>45138</v>
      </c>
      <c r="F150" t="s">
        <v>14</v>
      </c>
      <c r="G150">
        <v>8141</v>
      </c>
      <c r="H150">
        <v>427</v>
      </c>
      <c r="I150">
        <v>2.17</v>
      </c>
      <c r="J150">
        <v>113</v>
      </c>
      <c r="M150">
        <f t="shared" ca="1" si="8"/>
        <v>711</v>
      </c>
      <c r="N150" s="3" t="str" cm="1">
        <f t="array" ref="N150">_xlfn.IFS(I150&gt;=3.5,"Excellent",I150&gt;=3,"Good",I150&gt;=2,"Average",I150&lt;2,"Poor")</f>
        <v>Average</v>
      </c>
      <c r="P150" t="str">
        <f t="shared" si="9"/>
        <v/>
      </c>
      <c r="Q150">
        <f t="shared" si="10"/>
        <v>738757</v>
      </c>
      <c r="R150">
        <v>2023</v>
      </c>
      <c r="X150" t="str">
        <f t="shared" ca="1" si="11"/>
        <v/>
      </c>
    </row>
    <row r="151" spans="1:24" x14ac:dyDescent="0.25">
      <c r="A151" t="s">
        <v>323</v>
      </c>
      <c r="B151" t="s">
        <v>324</v>
      </c>
      <c r="C151" t="s">
        <v>54</v>
      </c>
      <c r="D151" t="s">
        <v>62</v>
      </c>
      <c r="E151" s="1">
        <v>44696</v>
      </c>
      <c r="F151" t="s">
        <v>14</v>
      </c>
      <c r="G151">
        <v>9809</v>
      </c>
      <c r="H151">
        <v>8641</v>
      </c>
      <c r="I151">
        <v>2.4</v>
      </c>
      <c r="J151">
        <v>87</v>
      </c>
      <c r="M151">
        <f t="shared" ca="1" si="8"/>
        <v>1153</v>
      </c>
      <c r="N151" s="3" t="str" cm="1">
        <f t="array" ref="N151">_xlfn.IFS(I151&gt;=3.5,"Excellent",I151&gt;=3,"Good",I151&gt;=2,"Average",I151&lt;2,"Poor")</f>
        <v>Average</v>
      </c>
      <c r="P151" t="str">
        <f t="shared" si="9"/>
        <v>True</v>
      </c>
      <c r="Q151">
        <f t="shared" si="10"/>
        <v>738757</v>
      </c>
      <c r="R151">
        <v>2022</v>
      </c>
      <c r="X151" t="str">
        <f t="shared" ca="1" si="11"/>
        <v/>
      </c>
    </row>
    <row r="152" spans="1:24" x14ac:dyDescent="0.25">
      <c r="A152" t="s">
        <v>325</v>
      </c>
      <c r="B152" t="s">
        <v>326</v>
      </c>
      <c r="C152" t="s">
        <v>17</v>
      </c>
      <c r="D152" t="s">
        <v>18</v>
      </c>
      <c r="E152" s="1">
        <v>44838</v>
      </c>
      <c r="F152" t="s">
        <v>14</v>
      </c>
      <c r="G152">
        <v>10454</v>
      </c>
      <c r="H152">
        <v>3317</v>
      </c>
      <c r="I152">
        <v>2.06</v>
      </c>
      <c r="J152">
        <v>29</v>
      </c>
      <c r="M152">
        <f t="shared" ca="1" si="8"/>
        <v>1011</v>
      </c>
      <c r="N152" s="3" t="str" cm="1">
        <f t="array" ref="N152">_xlfn.IFS(I152&gt;=3.5,"Excellent",I152&gt;=3,"Good",I152&gt;=2,"Average",I152&lt;2,"Poor")</f>
        <v>Average</v>
      </c>
      <c r="P152" t="str">
        <f t="shared" si="9"/>
        <v/>
      </c>
      <c r="Q152">
        <f t="shared" si="10"/>
        <v>738757</v>
      </c>
      <c r="R152">
        <v>2022</v>
      </c>
      <c r="X152" t="str">
        <f t="shared" ca="1" si="11"/>
        <v/>
      </c>
    </row>
    <row r="153" spans="1:24" x14ac:dyDescent="0.25">
      <c r="A153" t="s">
        <v>327</v>
      </c>
      <c r="B153" t="s">
        <v>328</v>
      </c>
      <c r="C153" t="s">
        <v>54</v>
      </c>
      <c r="D153" t="s">
        <v>18</v>
      </c>
      <c r="E153" s="1">
        <v>45164</v>
      </c>
      <c r="F153" t="s">
        <v>14</v>
      </c>
      <c r="G153">
        <v>10121</v>
      </c>
      <c r="H153">
        <v>466</v>
      </c>
      <c r="I153">
        <v>2.3199999999999998</v>
      </c>
      <c r="J153">
        <v>90</v>
      </c>
      <c r="M153">
        <f t="shared" ca="1" si="8"/>
        <v>685</v>
      </c>
      <c r="N153" s="3" t="str" cm="1">
        <f t="array" ref="N153">_xlfn.IFS(I153&gt;=3.5,"Excellent",I153&gt;=3,"Good",I153&gt;=2,"Average",I153&lt;2,"Poor")</f>
        <v>Average</v>
      </c>
      <c r="P153" t="str">
        <f t="shared" si="9"/>
        <v/>
      </c>
      <c r="Q153">
        <f t="shared" si="10"/>
        <v>738757</v>
      </c>
      <c r="R153">
        <v>2023</v>
      </c>
      <c r="X153" t="str">
        <f t="shared" ca="1" si="11"/>
        <v/>
      </c>
    </row>
    <row r="154" spans="1:24" x14ac:dyDescent="0.25">
      <c r="A154" t="s">
        <v>329</v>
      </c>
      <c r="B154" t="s">
        <v>330</v>
      </c>
      <c r="C154" t="s">
        <v>36</v>
      </c>
      <c r="D154" t="s">
        <v>31</v>
      </c>
      <c r="E154" s="1">
        <v>45440</v>
      </c>
      <c r="F154" t="s">
        <v>14</v>
      </c>
      <c r="G154">
        <v>4736</v>
      </c>
      <c r="H154">
        <v>3962</v>
      </c>
      <c r="I154">
        <v>3.01</v>
      </c>
      <c r="J154">
        <v>17</v>
      </c>
      <c r="M154">
        <f t="shared" ca="1" si="8"/>
        <v>409</v>
      </c>
      <c r="N154" s="3" t="str" cm="1">
        <f t="array" ref="N154">_xlfn.IFS(I154&gt;=3.5,"Excellent",I154&gt;=3,"Good",I154&gt;=2,"Average",I154&lt;2,"Poor")</f>
        <v>Good</v>
      </c>
      <c r="P154" t="str">
        <f t="shared" si="9"/>
        <v>True</v>
      </c>
      <c r="Q154">
        <f t="shared" si="10"/>
        <v>738757</v>
      </c>
      <c r="R154">
        <v>2024</v>
      </c>
      <c r="X154" t="str">
        <f t="shared" ca="1" si="11"/>
        <v/>
      </c>
    </row>
    <row r="155" spans="1:24" x14ac:dyDescent="0.25">
      <c r="A155" t="s">
        <v>331</v>
      </c>
      <c r="B155" t="s">
        <v>332</v>
      </c>
      <c r="C155" t="s">
        <v>28</v>
      </c>
      <c r="D155" t="s">
        <v>31</v>
      </c>
      <c r="E155" s="1">
        <v>44618</v>
      </c>
      <c r="F155" t="s">
        <v>39</v>
      </c>
      <c r="G155">
        <v>9014</v>
      </c>
      <c r="H155">
        <v>3013</v>
      </c>
      <c r="I155">
        <v>2.99</v>
      </c>
      <c r="J155">
        <v>45</v>
      </c>
      <c r="M155" t="str">
        <f t="shared" ca="1" si="8"/>
        <v/>
      </c>
      <c r="N155" s="3" t="str" cm="1">
        <f t="array" ref="N155">_xlfn.IFS(I155&gt;=3.5,"Excellent",I155&gt;=3,"Good",I155&gt;=2,"Average",I155&lt;2,"Poor")</f>
        <v>Average</v>
      </c>
      <c r="P155" t="str">
        <f t="shared" si="9"/>
        <v/>
      </c>
      <c r="Q155">
        <f t="shared" si="10"/>
        <v>738757</v>
      </c>
      <c r="R155">
        <v>2022</v>
      </c>
      <c r="X155" t="str">
        <f t="shared" ca="1" si="11"/>
        <v/>
      </c>
    </row>
    <row r="156" spans="1:24" x14ac:dyDescent="0.25">
      <c r="A156" t="s">
        <v>333</v>
      </c>
      <c r="B156" t="s">
        <v>334</v>
      </c>
      <c r="C156" t="s">
        <v>12</v>
      </c>
      <c r="D156" t="s">
        <v>18</v>
      </c>
      <c r="E156" s="1">
        <v>45459</v>
      </c>
      <c r="F156" t="s">
        <v>14</v>
      </c>
      <c r="G156">
        <v>2715</v>
      </c>
      <c r="H156">
        <v>5649</v>
      </c>
      <c r="I156">
        <v>3.53</v>
      </c>
      <c r="J156">
        <v>0</v>
      </c>
      <c r="M156">
        <f t="shared" ca="1" si="8"/>
        <v>390</v>
      </c>
      <c r="N156" s="3" t="str" cm="1">
        <f t="array" ref="N156">_xlfn.IFS(I156&gt;=3.5,"Excellent",I156&gt;=3,"Good",I156&gt;=2,"Average",I156&lt;2,"Poor")</f>
        <v>Excellent</v>
      </c>
      <c r="P156" t="str">
        <f t="shared" si="9"/>
        <v>True</v>
      </c>
      <c r="Q156">
        <f t="shared" si="10"/>
        <v>738757</v>
      </c>
      <c r="R156">
        <v>2024</v>
      </c>
      <c r="X156" t="str">
        <f t="shared" ca="1" si="11"/>
        <v/>
      </c>
    </row>
    <row r="157" spans="1:24" x14ac:dyDescent="0.25">
      <c r="A157" t="s">
        <v>335</v>
      </c>
      <c r="B157" t="s">
        <v>336</v>
      </c>
      <c r="C157" t="s">
        <v>12</v>
      </c>
      <c r="D157" t="s">
        <v>18</v>
      </c>
      <c r="E157" s="1">
        <v>45000</v>
      </c>
      <c r="F157" t="s">
        <v>14</v>
      </c>
      <c r="G157">
        <v>13742</v>
      </c>
      <c r="H157">
        <v>7678</v>
      </c>
      <c r="I157">
        <v>2.35</v>
      </c>
      <c r="J157">
        <v>38</v>
      </c>
      <c r="M157">
        <f t="shared" ca="1" si="8"/>
        <v>849</v>
      </c>
      <c r="N157" s="3" t="str" cm="1">
        <f t="array" ref="N157">_xlfn.IFS(I157&gt;=3.5,"Excellent",I157&gt;=3,"Good",I157&gt;=2,"Average",I157&lt;2,"Poor")</f>
        <v>Average</v>
      </c>
      <c r="P157" t="str">
        <f t="shared" si="9"/>
        <v>True</v>
      </c>
      <c r="Q157">
        <f t="shared" si="10"/>
        <v>738757</v>
      </c>
      <c r="R157">
        <v>2023</v>
      </c>
      <c r="X157" t="str">
        <f t="shared" ca="1" si="11"/>
        <v/>
      </c>
    </row>
    <row r="158" spans="1:24" x14ac:dyDescent="0.25">
      <c r="A158" t="s">
        <v>337</v>
      </c>
      <c r="B158" t="s">
        <v>338</v>
      </c>
      <c r="C158" t="s">
        <v>36</v>
      </c>
      <c r="D158" t="s">
        <v>62</v>
      </c>
      <c r="E158" s="1">
        <v>44693</v>
      </c>
      <c r="F158" t="s">
        <v>19</v>
      </c>
      <c r="G158">
        <v>3617</v>
      </c>
      <c r="H158">
        <v>3075</v>
      </c>
      <c r="I158">
        <v>2.81</v>
      </c>
      <c r="J158">
        <v>5</v>
      </c>
      <c r="M158" t="str">
        <f t="shared" ca="1" si="8"/>
        <v/>
      </c>
      <c r="N158" s="3" t="str" cm="1">
        <f t="array" ref="N158">_xlfn.IFS(I158&gt;=3.5,"Excellent",I158&gt;=3,"Good",I158&gt;=2,"Average",I158&lt;2,"Poor")</f>
        <v>Average</v>
      </c>
      <c r="P158" t="str">
        <f t="shared" si="9"/>
        <v>True</v>
      </c>
      <c r="Q158">
        <f t="shared" si="10"/>
        <v>738757</v>
      </c>
      <c r="R158">
        <v>2022</v>
      </c>
      <c r="X158">
        <f t="shared" ca="1" si="11"/>
        <v>1156</v>
      </c>
    </row>
    <row r="159" spans="1:24" x14ac:dyDescent="0.25">
      <c r="A159" t="s">
        <v>339</v>
      </c>
      <c r="B159" t="s">
        <v>340</v>
      </c>
      <c r="C159" t="s">
        <v>12</v>
      </c>
      <c r="D159" t="s">
        <v>31</v>
      </c>
      <c r="E159" s="1">
        <v>44706</v>
      </c>
      <c r="F159" t="s">
        <v>19</v>
      </c>
      <c r="G159">
        <v>13091</v>
      </c>
      <c r="H159">
        <v>8135</v>
      </c>
      <c r="I159">
        <v>3.49</v>
      </c>
      <c r="J159">
        <v>0</v>
      </c>
      <c r="M159" t="str">
        <f t="shared" ca="1" si="8"/>
        <v/>
      </c>
      <c r="N159" s="3" t="str" cm="1">
        <f t="array" ref="N159">_xlfn.IFS(I159&gt;=3.5,"Excellent",I159&gt;=3,"Good",I159&gt;=2,"Average",I159&lt;2,"Poor")</f>
        <v>Good</v>
      </c>
      <c r="P159" t="str">
        <f t="shared" si="9"/>
        <v>True</v>
      </c>
      <c r="Q159">
        <f t="shared" si="10"/>
        <v>738757</v>
      </c>
      <c r="R159">
        <v>2022</v>
      </c>
      <c r="X159">
        <f t="shared" ca="1" si="11"/>
        <v>1143</v>
      </c>
    </row>
    <row r="160" spans="1:24" x14ac:dyDescent="0.25">
      <c r="A160" t="s">
        <v>341</v>
      </c>
      <c r="B160" t="s">
        <v>342</v>
      </c>
      <c r="C160" t="s">
        <v>28</v>
      </c>
      <c r="D160" t="s">
        <v>18</v>
      </c>
      <c r="E160" s="1">
        <v>45348</v>
      </c>
      <c r="F160" t="s">
        <v>39</v>
      </c>
      <c r="G160">
        <v>11936</v>
      </c>
      <c r="H160">
        <v>8739</v>
      </c>
      <c r="I160">
        <v>2.5299999999999998</v>
      </c>
      <c r="J160">
        <v>93</v>
      </c>
      <c r="M160" t="str">
        <f t="shared" ca="1" si="8"/>
        <v/>
      </c>
      <c r="N160" s="3" t="str" cm="1">
        <f t="array" ref="N160">_xlfn.IFS(I160&gt;=3.5,"Excellent",I160&gt;=3,"Good",I160&gt;=2,"Average",I160&lt;2,"Poor")</f>
        <v>Average</v>
      </c>
      <c r="P160" t="str">
        <f t="shared" si="9"/>
        <v>True</v>
      </c>
      <c r="Q160">
        <f t="shared" si="10"/>
        <v>738757</v>
      </c>
      <c r="R160">
        <v>2024</v>
      </c>
      <c r="X160" t="str">
        <f t="shared" ca="1" si="11"/>
        <v/>
      </c>
    </row>
    <row r="161" spans="1:24" x14ac:dyDescent="0.25">
      <c r="A161" t="s">
        <v>343</v>
      </c>
      <c r="B161" t="s">
        <v>344</v>
      </c>
      <c r="C161" t="s">
        <v>12</v>
      </c>
      <c r="D161" t="s">
        <v>13</v>
      </c>
      <c r="E161" s="1">
        <v>44605</v>
      </c>
      <c r="F161" t="s">
        <v>14</v>
      </c>
      <c r="G161">
        <v>14162</v>
      </c>
      <c r="H161">
        <v>7133</v>
      </c>
      <c r="I161">
        <v>3.75</v>
      </c>
      <c r="J161">
        <v>115</v>
      </c>
      <c r="M161">
        <f t="shared" ca="1" si="8"/>
        <v>1244</v>
      </c>
      <c r="N161" s="3" t="str" cm="1">
        <f t="array" ref="N161">_xlfn.IFS(I161&gt;=3.5,"Excellent",I161&gt;=3,"Good",I161&gt;=2,"Average",I161&lt;2,"Poor")</f>
        <v>Excellent</v>
      </c>
      <c r="P161" t="str">
        <f t="shared" si="9"/>
        <v>True</v>
      </c>
      <c r="Q161">
        <f t="shared" si="10"/>
        <v>738757</v>
      </c>
      <c r="R161">
        <v>2022</v>
      </c>
      <c r="X161" t="str">
        <f t="shared" ca="1" si="11"/>
        <v/>
      </c>
    </row>
    <row r="162" spans="1:24" x14ac:dyDescent="0.25">
      <c r="A162" t="s">
        <v>345</v>
      </c>
      <c r="B162" t="s">
        <v>346</v>
      </c>
      <c r="C162" t="s">
        <v>28</v>
      </c>
      <c r="D162" t="s">
        <v>13</v>
      </c>
      <c r="E162" s="1">
        <v>44579</v>
      </c>
      <c r="F162" t="s">
        <v>14</v>
      </c>
      <c r="G162">
        <v>12730</v>
      </c>
      <c r="H162">
        <v>8258</v>
      </c>
      <c r="I162">
        <v>3.22</v>
      </c>
      <c r="J162">
        <v>99</v>
      </c>
      <c r="M162">
        <f t="shared" ca="1" si="8"/>
        <v>1270</v>
      </c>
      <c r="N162" s="3" t="str" cm="1">
        <f t="array" ref="N162">_xlfn.IFS(I162&gt;=3.5,"Excellent",I162&gt;=3,"Good",I162&gt;=2,"Average",I162&lt;2,"Poor")</f>
        <v>Good</v>
      </c>
      <c r="P162" t="str">
        <f t="shared" si="9"/>
        <v>True</v>
      </c>
      <c r="Q162">
        <f t="shared" si="10"/>
        <v>738757</v>
      </c>
      <c r="R162">
        <v>2022</v>
      </c>
      <c r="X162" t="str">
        <f t="shared" ca="1" si="11"/>
        <v/>
      </c>
    </row>
    <row r="163" spans="1:24" x14ac:dyDescent="0.25">
      <c r="A163" t="s">
        <v>347</v>
      </c>
      <c r="B163" t="s">
        <v>348</v>
      </c>
      <c r="C163" t="s">
        <v>57</v>
      </c>
      <c r="D163" t="s">
        <v>18</v>
      </c>
      <c r="E163" s="1">
        <v>45213</v>
      </c>
      <c r="F163" t="s">
        <v>19</v>
      </c>
      <c r="G163">
        <v>12837</v>
      </c>
      <c r="H163">
        <v>3765</v>
      </c>
      <c r="I163">
        <v>3.52</v>
      </c>
      <c r="J163">
        <v>105</v>
      </c>
      <c r="M163" t="str">
        <f t="shared" ca="1" si="8"/>
        <v/>
      </c>
      <c r="N163" s="3" t="str" cm="1">
        <f t="array" ref="N163">_xlfn.IFS(I163&gt;=3.5,"Excellent",I163&gt;=3,"Good",I163&gt;=2,"Average",I163&lt;2,"Poor")</f>
        <v>Excellent</v>
      </c>
      <c r="P163" t="str">
        <f t="shared" si="9"/>
        <v/>
      </c>
      <c r="Q163">
        <f t="shared" si="10"/>
        <v>738757</v>
      </c>
      <c r="R163">
        <v>2023</v>
      </c>
      <c r="X163">
        <f t="shared" ca="1" si="11"/>
        <v>636</v>
      </c>
    </row>
    <row r="164" spans="1:24" x14ac:dyDescent="0.25">
      <c r="A164" t="s">
        <v>349</v>
      </c>
      <c r="B164" t="s">
        <v>350</v>
      </c>
      <c r="C164" t="s">
        <v>28</v>
      </c>
      <c r="D164" t="s">
        <v>31</v>
      </c>
      <c r="E164" s="1">
        <v>45025</v>
      </c>
      <c r="F164" t="s">
        <v>39</v>
      </c>
      <c r="G164">
        <v>6301</v>
      </c>
      <c r="H164">
        <v>527</v>
      </c>
      <c r="I164">
        <v>3.23</v>
      </c>
      <c r="J164">
        <v>117</v>
      </c>
      <c r="M164" t="str">
        <f t="shared" ca="1" si="8"/>
        <v/>
      </c>
      <c r="N164" s="3" t="str" cm="1">
        <f t="array" ref="N164">_xlfn.IFS(I164&gt;=3.5,"Excellent",I164&gt;=3,"Good",I164&gt;=2,"Average",I164&lt;2,"Poor")</f>
        <v>Good</v>
      </c>
      <c r="P164" t="str">
        <f t="shared" si="9"/>
        <v/>
      </c>
      <c r="Q164">
        <f t="shared" si="10"/>
        <v>725920</v>
      </c>
      <c r="R164">
        <v>2023</v>
      </c>
      <c r="X164" t="str">
        <f t="shared" ca="1" si="11"/>
        <v/>
      </c>
    </row>
    <row r="165" spans="1:24" x14ac:dyDescent="0.25">
      <c r="A165" t="s">
        <v>351</v>
      </c>
      <c r="B165" t="s">
        <v>352</v>
      </c>
      <c r="C165" t="s">
        <v>36</v>
      </c>
      <c r="D165" t="s">
        <v>31</v>
      </c>
      <c r="E165" s="1">
        <v>44706</v>
      </c>
      <c r="F165" t="s">
        <v>14</v>
      </c>
      <c r="G165">
        <v>12857</v>
      </c>
      <c r="H165">
        <v>2010</v>
      </c>
      <c r="I165">
        <v>2.76</v>
      </c>
      <c r="J165">
        <v>4</v>
      </c>
      <c r="M165">
        <f t="shared" ca="1" si="8"/>
        <v>1143</v>
      </c>
      <c r="N165" s="3" t="str" cm="1">
        <f t="array" ref="N165">_xlfn.IFS(I165&gt;=3.5,"Excellent",I165&gt;=3,"Good",I165&gt;=2,"Average",I165&lt;2,"Poor")</f>
        <v>Average</v>
      </c>
      <c r="P165" t="str">
        <f t="shared" si="9"/>
        <v/>
      </c>
      <c r="Q165">
        <f t="shared" si="10"/>
        <v>725920</v>
      </c>
      <c r="R165">
        <v>2022</v>
      </c>
      <c r="X165" t="str">
        <f t="shared" ca="1" si="11"/>
        <v/>
      </c>
    </row>
    <row r="166" spans="1:24" x14ac:dyDescent="0.25">
      <c r="A166" t="s">
        <v>353</v>
      </c>
      <c r="B166" t="s">
        <v>354</v>
      </c>
      <c r="C166" t="s">
        <v>25</v>
      </c>
      <c r="D166" t="s">
        <v>13</v>
      </c>
      <c r="E166" s="1">
        <v>44803</v>
      </c>
      <c r="F166" t="s">
        <v>14</v>
      </c>
      <c r="G166">
        <v>10432</v>
      </c>
      <c r="H166">
        <v>8752</v>
      </c>
      <c r="I166">
        <v>3.08</v>
      </c>
      <c r="J166">
        <v>77</v>
      </c>
      <c r="M166">
        <f t="shared" ca="1" si="8"/>
        <v>1046</v>
      </c>
      <c r="N166" s="3" t="str" cm="1">
        <f t="array" ref="N166">_xlfn.IFS(I166&gt;=3.5,"Excellent",I166&gt;=3,"Good",I166&gt;=2,"Average",I166&lt;2,"Poor")</f>
        <v>Good</v>
      </c>
      <c r="P166" t="str">
        <f t="shared" si="9"/>
        <v>True</v>
      </c>
      <c r="Q166">
        <f t="shared" si="10"/>
        <v>725920</v>
      </c>
      <c r="R166">
        <v>2022</v>
      </c>
      <c r="X166" t="str">
        <f t="shared" ca="1" si="11"/>
        <v/>
      </c>
    </row>
    <row r="167" spans="1:24" x14ac:dyDescent="0.25">
      <c r="A167" t="s">
        <v>355</v>
      </c>
      <c r="B167" t="s">
        <v>356</v>
      </c>
      <c r="C167" t="s">
        <v>25</v>
      </c>
      <c r="D167" t="s">
        <v>18</v>
      </c>
      <c r="E167" s="1">
        <v>44838</v>
      </c>
      <c r="F167" t="s">
        <v>19</v>
      </c>
      <c r="G167">
        <v>11825</v>
      </c>
      <c r="H167">
        <v>9226</v>
      </c>
      <c r="I167">
        <v>3.93</v>
      </c>
      <c r="J167">
        <v>43</v>
      </c>
      <c r="M167" t="str">
        <f t="shared" ca="1" si="8"/>
        <v/>
      </c>
      <c r="N167" s="3" t="str" cm="1">
        <f t="array" ref="N167">_xlfn.IFS(I167&gt;=3.5,"Excellent",I167&gt;=3,"Good",I167&gt;=2,"Average",I167&lt;2,"Poor")</f>
        <v>Excellent</v>
      </c>
      <c r="P167" t="str">
        <f t="shared" si="9"/>
        <v>True</v>
      </c>
      <c r="Q167">
        <f t="shared" si="10"/>
        <v>725920</v>
      </c>
      <c r="R167">
        <v>2022</v>
      </c>
      <c r="X167">
        <f t="shared" ca="1" si="11"/>
        <v>1011</v>
      </c>
    </row>
    <row r="168" spans="1:24" x14ac:dyDescent="0.25">
      <c r="A168" t="s">
        <v>357</v>
      </c>
      <c r="B168" t="s">
        <v>358</v>
      </c>
      <c r="C168" t="s">
        <v>17</v>
      </c>
      <c r="D168" t="s">
        <v>62</v>
      </c>
      <c r="E168" s="1">
        <v>45262</v>
      </c>
      <c r="F168" t="s">
        <v>14</v>
      </c>
      <c r="G168">
        <v>3474</v>
      </c>
      <c r="H168">
        <v>3909</v>
      </c>
      <c r="I168">
        <v>3.89</v>
      </c>
      <c r="J168">
        <v>111</v>
      </c>
      <c r="M168">
        <f t="shared" ca="1" si="8"/>
        <v>587</v>
      </c>
      <c r="N168" s="3" t="str" cm="1">
        <f t="array" ref="N168">_xlfn.IFS(I168&gt;=3.5,"Excellent",I168&gt;=3,"Good",I168&gt;=2,"Average",I168&lt;2,"Poor")</f>
        <v>Excellent</v>
      </c>
      <c r="P168" t="str">
        <f t="shared" si="9"/>
        <v>True</v>
      </c>
      <c r="Q168">
        <f t="shared" si="10"/>
        <v>714095</v>
      </c>
      <c r="R168">
        <v>2023</v>
      </c>
      <c r="X168" t="str">
        <f t="shared" ca="1" si="11"/>
        <v/>
      </c>
    </row>
    <row r="169" spans="1:24" x14ac:dyDescent="0.25">
      <c r="A169" t="s">
        <v>359</v>
      </c>
      <c r="B169" t="s">
        <v>360</v>
      </c>
      <c r="C169" t="s">
        <v>22</v>
      </c>
      <c r="D169" t="s">
        <v>13</v>
      </c>
      <c r="E169" s="1">
        <v>44583</v>
      </c>
      <c r="F169" t="s">
        <v>19</v>
      </c>
      <c r="G169">
        <v>14567</v>
      </c>
      <c r="H169">
        <v>6117</v>
      </c>
      <c r="I169">
        <v>2.2400000000000002</v>
      </c>
      <c r="J169">
        <v>9</v>
      </c>
      <c r="M169" t="str">
        <f t="shared" ca="1" si="8"/>
        <v/>
      </c>
      <c r="N169" s="3" t="str" cm="1">
        <f t="array" ref="N169">_xlfn.IFS(I169&gt;=3.5,"Excellent",I169&gt;=3,"Good",I169&gt;=2,"Average",I169&lt;2,"Poor")</f>
        <v>Average</v>
      </c>
      <c r="P169" t="str">
        <f t="shared" si="9"/>
        <v/>
      </c>
      <c r="Q169">
        <f t="shared" si="10"/>
        <v>714095</v>
      </c>
      <c r="R169">
        <v>2022</v>
      </c>
      <c r="X169">
        <f t="shared" ca="1" si="11"/>
        <v>1266</v>
      </c>
    </row>
    <row r="170" spans="1:24" x14ac:dyDescent="0.25">
      <c r="A170" t="s">
        <v>361</v>
      </c>
      <c r="B170" t="s">
        <v>362</v>
      </c>
      <c r="C170" t="s">
        <v>54</v>
      </c>
      <c r="D170" t="s">
        <v>31</v>
      </c>
      <c r="E170" s="1">
        <v>44933</v>
      </c>
      <c r="F170" t="s">
        <v>14</v>
      </c>
      <c r="G170">
        <v>12381</v>
      </c>
      <c r="H170">
        <v>5712</v>
      </c>
      <c r="I170">
        <v>2.57</v>
      </c>
      <c r="J170">
        <v>104</v>
      </c>
      <c r="M170">
        <f t="shared" ca="1" si="8"/>
        <v>916</v>
      </c>
      <c r="N170" s="3" t="str" cm="1">
        <f t="array" ref="N170">_xlfn.IFS(I170&gt;=3.5,"Excellent",I170&gt;=3,"Good",I170&gt;=2,"Average",I170&lt;2,"Poor")</f>
        <v>Average</v>
      </c>
      <c r="P170" t="str">
        <f t="shared" si="9"/>
        <v/>
      </c>
      <c r="Q170">
        <f t="shared" si="10"/>
        <v>714095</v>
      </c>
      <c r="R170">
        <v>2023</v>
      </c>
      <c r="X170" t="str">
        <f t="shared" ca="1" si="11"/>
        <v/>
      </c>
    </row>
    <row r="171" spans="1:24" x14ac:dyDescent="0.25">
      <c r="A171" t="s">
        <v>363</v>
      </c>
      <c r="B171" t="s">
        <v>364</v>
      </c>
      <c r="C171" t="s">
        <v>17</v>
      </c>
      <c r="D171" t="s">
        <v>18</v>
      </c>
      <c r="E171" s="1">
        <v>45386</v>
      </c>
      <c r="F171" t="s">
        <v>14</v>
      </c>
      <c r="G171">
        <v>14324</v>
      </c>
      <c r="H171">
        <v>3842</v>
      </c>
      <c r="I171">
        <v>3.29</v>
      </c>
      <c r="J171">
        <v>36</v>
      </c>
      <c r="M171">
        <f t="shared" ca="1" si="8"/>
        <v>463</v>
      </c>
      <c r="N171" s="3" t="str" cm="1">
        <f t="array" ref="N171">_xlfn.IFS(I171&gt;=3.5,"Excellent",I171&gt;=3,"Good",I171&gt;=2,"Average",I171&lt;2,"Poor")</f>
        <v>Good</v>
      </c>
      <c r="P171" t="str">
        <f t="shared" si="9"/>
        <v/>
      </c>
      <c r="Q171">
        <f t="shared" si="10"/>
        <v>714095</v>
      </c>
      <c r="R171">
        <v>2024</v>
      </c>
      <c r="X171" t="str">
        <f t="shared" ca="1" si="11"/>
        <v/>
      </c>
    </row>
    <row r="172" spans="1:24" x14ac:dyDescent="0.25">
      <c r="A172" t="s">
        <v>365</v>
      </c>
      <c r="B172" t="s">
        <v>366</v>
      </c>
      <c r="C172" t="s">
        <v>28</v>
      </c>
      <c r="D172" t="s">
        <v>62</v>
      </c>
      <c r="E172" s="1">
        <v>45188</v>
      </c>
      <c r="F172" t="s">
        <v>14</v>
      </c>
      <c r="G172">
        <v>12649</v>
      </c>
      <c r="H172">
        <v>5633</v>
      </c>
      <c r="I172">
        <v>2.2999999999999998</v>
      </c>
      <c r="J172">
        <v>77</v>
      </c>
      <c r="M172">
        <f t="shared" ca="1" si="8"/>
        <v>661</v>
      </c>
      <c r="N172" s="3" t="str" cm="1">
        <f t="array" ref="N172">_xlfn.IFS(I172&gt;=3.5,"Excellent",I172&gt;=3,"Good",I172&gt;=2,"Average",I172&lt;2,"Poor")</f>
        <v>Average</v>
      </c>
      <c r="P172" t="str">
        <f t="shared" si="9"/>
        <v/>
      </c>
      <c r="Q172">
        <f t="shared" si="10"/>
        <v>714095</v>
      </c>
      <c r="R172">
        <v>2023</v>
      </c>
      <c r="X172" t="str">
        <f t="shared" ca="1" si="11"/>
        <v/>
      </c>
    </row>
    <row r="173" spans="1:24" x14ac:dyDescent="0.25">
      <c r="A173" t="s">
        <v>367</v>
      </c>
      <c r="B173" t="s">
        <v>368</v>
      </c>
      <c r="C173" t="s">
        <v>25</v>
      </c>
      <c r="D173" t="s">
        <v>13</v>
      </c>
      <c r="E173" s="1">
        <v>45282</v>
      </c>
      <c r="F173" t="s">
        <v>19</v>
      </c>
      <c r="G173">
        <v>14074</v>
      </c>
      <c r="H173">
        <v>6861</v>
      </c>
      <c r="I173">
        <v>3.43</v>
      </c>
      <c r="J173">
        <v>82</v>
      </c>
      <c r="M173" t="str">
        <f t="shared" ca="1" si="8"/>
        <v/>
      </c>
      <c r="N173" s="3" t="str" cm="1">
        <f t="array" ref="N173">_xlfn.IFS(I173&gt;=3.5,"Excellent",I173&gt;=3,"Good",I173&gt;=2,"Average",I173&lt;2,"Poor")</f>
        <v>Good</v>
      </c>
      <c r="P173" t="str">
        <f t="shared" si="9"/>
        <v/>
      </c>
      <c r="Q173">
        <f t="shared" si="10"/>
        <v>714095</v>
      </c>
      <c r="R173">
        <v>2023</v>
      </c>
      <c r="X173">
        <f t="shared" ca="1" si="11"/>
        <v>567</v>
      </c>
    </row>
    <row r="174" spans="1:24" x14ac:dyDescent="0.25">
      <c r="A174" t="s">
        <v>369</v>
      </c>
      <c r="B174" t="s">
        <v>370</v>
      </c>
      <c r="C174" t="s">
        <v>12</v>
      </c>
      <c r="D174" t="s">
        <v>62</v>
      </c>
      <c r="E174" s="1">
        <v>45327</v>
      </c>
      <c r="F174" t="s">
        <v>19</v>
      </c>
      <c r="G174">
        <v>3427</v>
      </c>
      <c r="H174">
        <v>4126</v>
      </c>
      <c r="I174">
        <v>3.35</v>
      </c>
      <c r="J174">
        <v>24</v>
      </c>
      <c r="M174" t="str">
        <f t="shared" ca="1" si="8"/>
        <v/>
      </c>
      <c r="N174" s="3" t="str" cm="1">
        <f t="array" ref="N174">_xlfn.IFS(I174&gt;=3.5,"Excellent",I174&gt;=3,"Good",I174&gt;=2,"Average",I174&lt;2,"Poor")</f>
        <v>Good</v>
      </c>
      <c r="P174" t="str">
        <f t="shared" si="9"/>
        <v>True</v>
      </c>
      <c r="Q174">
        <f t="shared" si="10"/>
        <v>714095</v>
      </c>
      <c r="R174">
        <v>2024</v>
      </c>
      <c r="X174">
        <f t="shared" ca="1" si="11"/>
        <v>522</v>
      </c>
    </row>
    <row r="175" spans="1:24" x14ac:dyDescent="0.25">
      <c r="A175" t="s">
        <v>371</v>
      </c>
      <c r="B175" t="s">
        <v>372</v>
      </c>
      <c r="C175" t="s">
        <v>17</v>
      </c>
      <c r="D175" t="s">
        <v>13</v>
      </c>
      <c r="E175" s="1">
        <v>44588</v>
      </c>
      <c r="F175" t="s">
        <v>14</v>
      </c>
      <c r="G175">
        <v>12397</v>
      </c>
      <c r="H175">
        <v>1786</v>
      </c>
      <c r="I175">
        <v>3.54</v>
      </c>
      <c r="J175">
        <v>60</v>
      </c>
      <c r="M175">
        <f t="shared" ca="1" si="8"/>
        <v>1261</v>
      </c>
      <c r="N175" s="3" t="str" cm="1">
        <f t="array" ref="N175">_xlfn.IFS(I175&gt;=3.5,"Excellent",I175&gt;=3,"Good",I175&gt;=2,"Average",I175&lt;2,"Poor")</f>
        <v>Excellent</v>
      </c>
      <c r="P175" t="str">
        <f t="shared" si="9"/>
        <v/>
      </c>
      <c r="Q175">
        <f t="shared" si="10"/>
        <v>714095</v>
      </c>
      <c r="R175">
        <v>2022</v>
      </c>
      <c r="X175" t="str">
        <f t="shared" ca="1" si="11"/>
        <v/>
      </c>
    </row>
    <row r="176" spans="1:24" x14ac:dyDescent="0.25">
      <c r="A176" t="s">
        <v>373</v>
      </c>
      <c r="B176" t="s">
        <v>374</v>
      </c>
      <c r="C176" t="s">
        <v>25</v>
      </c>
      <c r="D176" t="s">
        <v>18</v>
      </c>
      <c r="E176" s="1">
        <v>44668</v>
      </c>
      <c r="F176" t="s">
        <v>39</v>
      </c>
      <c r="G176">
        <v>6795</v>
      </c>
      <c r="H176">
        <v>8202</v>
      </c>
      <c r="I176">
        <v>2.66</v>
      </c>
      <c r="J176">
        <v>64</v>
      </c>
      <c r="M176" t="str">
        <f t="shared" ca="1" si="8"/>
        <v/>
      </c>
      <c r="N176" s="3" t="str" cm="1">
        <f t="array" ref="N176">_xlfn.IFS(I176&gt;=3.5,"Excellent",I176&gt;=3,"Good",I176&gt;=2,"Average",I176&lt;2,"Poor")</f>
        <v>Average</v>
      </c>
      <c r="P176" t="str">
        <f t="shared" si="9"/>
        <v>True</v>
      </c>
      <c r="Q176">
        <f t="shared" si="10"/>
        <v>714095</v>
      </c>
      <c r="R176">
        <v>2022</v>
      </c>
      <c r="X176" t="str">
        <f t="shared" ca="1" si="11"/>
        <v/>
      </c>
    </row>
    <row r="177" spans="1:24" x14ac:dyDescent="0.25">
      <c r="A177" t="s">
        <v>375</v>
      </c>
      <c r="B177" t="s">
        <v>376</v>
      </c>
      <c r="C177" t="s">
        <v>28</v>
      </c>
      <c r="D177" t="s">
        <v>62</v>
      </c>
      <c r="E177" s="1">
        <v>44700</v>
      </c>
      <c r="F177" t="s">
        <v>19</v>
      </c>
      <c r="G177">
        <v>8638</v>
      </c>
      <c r="H177">
        <v>9153</v>
      </c>
      <c r="I177">
        <v>3.5</v>
      </c>
      <c r="J177">
        <v>113</v>
      </c>
      <c r="M177" t="str">
        <f t="shared" ca="1" si="8"/>
        <v/>
      </c>
      <c r="N177" s="3" t="str" cm="1">
        <f t="array" ref="N177">_xlfn.IFS(I177&gt;=3.5,"Excellent",I177&gt;=3,"Good",I177&gt;=2,"Average",I177&lt;2,"Poor")</f>
        <v>Excellent</v>
      </c>
      <c r="P177" t="str">
        <f t="shared" si="9"/>
        <v>True</v>
      </c>
      <c r="Q177">
        <f t="shared" si="10"/>
        <v>714095</v>
      </c>
      <c r="R177">
        <v>2022</v>
      </c>
      <c r="X177">
        <f t="shared" ca="1" si="11"/>
        <v>1149</v>
      </c>
    </row>
    <row r="178" spans="1:24" x14ac:dyDescent="0.25">
      <c r="A178" t="s">
        <v>377</v>
      </c>
      <c r="B178" t="s">
        <v>378</v>
      </c>
      <c r="C178" t="s">
        <v>17</v>
      </c>
      <c r="D178" t="s">
        <v>18</v>
      </c>
      <c r="E178" s="1">
        <v>44956</v>
      </c>
      <c r="F178" t="s">
        <v>39</v>
      </c>
      <c r="G178">
        <v>7115</v>
      </c>
      <c r="H178">
        <v>4495</v>
      </c>
      <c r="I178">
        <v>2.46</v>
      </c>
      <c r="J178">
        <v>113</v>
      </c>
      <c r="M178" t="str">
        <f t="shared" ca="1" si="8"/>
        <v/>
      </c>
      <c r="N178" s="3" t="str" cm="1">
        <f t="array" ref="N178">_xlfn.IFS(I178&gt;=3.5,"Excellent",I178&gt;=3,"Good",I178&gt;=2,"Average",I178&lt;2,"Poor")</f>
        <v>Average</v>
      </c>
      <c r="P178" t="str">
        <f t="shared" si="9"/>
        <v>True</v>
      </c>
      <c r="Q178">
        <f t="shared" si="10"/>
        <v>714095</v>
      </c>
      <c r="R178">
        <v>2023</v>
      </c>
      <c r="X178" t="str">
        <f t="shared" ca="1" si="11"/>
        <v/>
      </c>
    </row>
    <row r="179" spans="1:24" x14ac:dyDescent="0.25">
      <c r="A179" t="s">
        <v>379</v>
      </c>
      <c r="B179" t="s">
        <v>380</v>
      </c>
      <c r="C179" t="s">
        <v>57</v>
      </c>
      <c r="D179" t="s">
        <v>62</v>
      </c>
      <c r="E179" s="1">
        <v>44745</v>
      </c>
      <c r="F179" t="s">
        <v>19</v>
      </c>
      <c r="G179">
        <v>9350</v>
      </c>
      <c r="H179">
        <v>9475</v>
      </c>
      <c r="I179">
        <v>2.27</v>
      </c>
      <c r="J179">
        <v>42</v>
      </c>
      <c r="M179" t="str">
        <f t="shared" ca="1" si="8"/>
        <v/>
      </c>
      <c r="N179" s="3" t="str" cm="1">
        <f t="array" ref="N179">_xlfn.IFS(I179&gt;=3.5,"Excellent",I179&gt;=3,"Good",I179&gt;=2,"Average",I179&lt;2,"Poor")</f>
        <v>Average</v>
      </c>
      <c r="P179" t="str">
        <f t="shared" si="9"/>
        <v>True</v>
      </c>
      <c r="Q179">
        <f t="shared" si="10"/>
        <v>714095</v>
      </c>
      <c r="R179">
        <v>2022</v>
      </c>
      <c r="X179">
        <f t="shared" ca="1" si="11"/>
        <v>1104</v>
      </c>
    </row>
    <row r="180" spans="1:24" x14ac:dyDescent="0.25">
      <c r="A180" t="s">
        <v>381</v>
      </c>
      <c r="B180" t="s">
        <v>382</v>
      </c>
      <c r="C180" t="s">
        <v>28</v>
      </c>
      <c r="D180" t="s">
        <v>62</v>
      </c>
      <c r="E180" s="1">
        <v>45241</v>
      </c>
      <c r="F180" t="s">
        <v>14</v>
      </c>
      <c r="G180">
        <v>9814</v>
      </c>
      <c r="H180">
        <v>5383</v>
      </c>
      <c r="I180">
        <v>3.3</v>
      </c>
      <c r="J180">
        <v>26</v>
      </c>
      <c r="M180">
        <f t="shared" ca="1" si="8"/>
        <v>608</v>
      </c>
      <c r="N180" s="3" t="str" cm="1">
        <f t="array" ref="N180">_xlfn.IFS(I180&gt;=3.5,"Excellent",I180&gt;=3,"Good",I180&gt;=2,"Average",I180&lt;2,"Poor")</f>
        <v>Good</v>
      </c>
      <c r="P180" t="str">
        <f t="shared" si="9"/>
        <v>True</v>
      </c>
      <c r="Q180">
        <f t="shared" si="10"/>
        <v>714095</v>
      </c>
      <c r="R180">
        <v>2023</v>
      </c>
      <c r="X180" t="str">
        <f t="shared" ca="1" si="11"/>
        <v/>
      </c>
    </row>
    <row r="181" spans="1:24" x14ac:dyDescent="0.25">
      <c r="A181" t="s">
        <v>383</v>
      </c>
      <c r="B181" t="s">
        <v>384</v>
      </c>
      <c r="C181" t="s">
        <v>36</v>
      </c>
      <c r="D181" t="s">
        <v>18</v>
      </c>
      <c r="E181" s="1">
        <v>45378</v>
      </c>
      <c r="F181" t="s">
        <v>19</v>
      </c>
      <c r="G181">
        <v>3206</v>
      </c>
      <c r="H181">
        <v>3995</v>
      </c>
      <c r="I181">
        <v>2.2200000000000002</v>
      </c>
      <c r="J181">
        <v>76</v>
      </c>
      <c r="M181" t="str">
        <f t="shared" ca="1" si="8"/>
        <v/>
      </c>
      <c r="N181" s="3" t="str" cm="1">
        <f t="array" ref="N181">_xlfn.IFS(I181&gt;=3.5,"Excellent",I181&gt;=3,"Good",I181&gt;=2,"Average",I181&lt;2,"Poor")</f>
        <v>Average</v>
      </c>
      <c r="P181" t="str">
        <f t="shared" si="9"/>
        <v>True</v>
      </c>
      <c r="Q181">
        <f t="shared" si="10"/>
        <v>714095</v>
      </c>
      <c r="R181">
        <v>2024</v>
      </c>
      <c r="X181">
        <f t="shared" ca="1" si="11"/>
        <v>471</v>
      </c>
    </row>
    <row r="182" spans="1:24" x14ac:dyDescent="0.25">
      <c r="A182" t="s">
        <v>385</v>
      </c>
      <c r="B182" t="s">
        <v>386</v>
      </c>
      <c r="C182" t="s">
        <v>25</v>
      </c>
      <c r="D182" t="s">
        <v>18</v>
      </c>
      <c r="E182" s="1">
        <v>45207</v>
      </c>
      <c r="F182" t="s">
        <v>14</v>
      </c>
      <c r="G182">
        <v>3198</v>
      </c>
      <c r="H182">
        <v>3690</v>
      </c>
      <c r="I182">
        <v>2.64</v>
      </c>
      <c r="J182">
        <v>69</v>
      </c>
      <c r="M182">
        <f t="shared" ca="1" si="8"/>
        <v>642</v>
      </c>
      <c r="N182" s="3" t="str" cm="1">
        <f t="array" ref="N182">_xlfn.IFS(I182&gt;=3.5,"Excellent",I182&gt;=3,"Good",I182&gt;=2,"Average",I182&lt;2,"Poor")</f>
        <v>Average</v>
      </c>
      <c r="P182" t="str">
        <f t="shared" si="9"/>
        <v>True</v>
      </c>
      <c r="Q182">
        <f t="shared" si="10"/>
        <v>710889</v>
      </c>
      <c r="R182">
        <v>2023</v>
      </c>
      <c r="X182" t="str">
        <f t="shared" ca="1" si="11"/>
        <v/>
      </c>
    </row>
    <row r="183" spans="1:24" x14ac:dyDescent="0.25">
      <c r="A183" t="s">
        <v>387</v>
      </c>
      <c r="B183" t="s">
        <v>388</v>
      </c>
      <c r="C183" t="s">
        <v>36</v>
      </c>
      <c r="D183" t="s">
        <v>18</v>
      </c>
      <c r="E183" s="1">
        <v>44761</v>
      </c>
      <c r="F183" t="s">
        <v>14</v>
      </c>
      <c r="G183">
        <v>2972</v>
      </c>
      <c r="H183">
        <v>2721</v>
      </c>
      <c r="I183">
        <v>3.6</v>
      </c>
      <c r="J183">
        <v>24</v>
      </c>
      <c r="M183">
        <f t="shared" ca="1" si="8"/>
        <v>1088</v>
      </c>
      <c r="N183" s="3" t="str" cm="1">
        <f t="array" ref="N183">_xlfn.IFS(I183&gt;=3.5,"Excellent",I183&gt;=3,"Good",I183&gt;=2,"Average",I183&lt;2,"Poor")</f>
        <v>Excellent</v>
      </c>
      <c r="P183" t="str">
        <f t="shared" si="9"/>
        <v>True</v>
      </c>
      <c r="Q183">
        <f t="shared" si="10"/>
        <v>710889</v>
      </c>
      <c r="R183">
        <v>2022</v>
      </c>
      <c r="X183" t="str">
        <f t="shared" ca="1" si="11"/>
        <v/>
      </c>
    </row>
    <row r="184" spans="1:24" x14ac:dyDescent="0.25">
      <c r="A184" t="s">
        <v>389</v>
      </c>
      <c r="B184" t="s">
        <v>390</v>
      </c>
      <c r="C184" t="s">
        <v>17</v>
      </c>
      <c r="D184" t="s">
        <v>13</v>
      </c>
      <c r="E184" s="1">
        <v>45327</v>
      </c>
      <c r="F184" t="s">
        <v>14</v>
      </c>
      <c r="G184">
        <v>8985</v>
      </c>
      <c r="H184">
        <v>1826</v>
      </c>
      <c r="I184">
        <v>2.1</v>
      </c>
      <c r="J184">
        <v>9</v>
      </c>
      <c r="M184">
        <f t="shared" ca="1" si="8"/>
        <v>522</v>
      </c>
      <c r="N184" s="3" t="str" cm="1">
        <f t="array" ref="N184">_xlfn.IFS(I184&gt;=3.5,"Excellent",I184&gt;=3,"Good",I184&gt;=2,"Average",I184&lt;2,"Poor")</f>
        <v>Average</v>
      </c>
      <c r="P184" t="str">
        <f t="shared" si="9"/>
        <v/>
      </c>
      <c r="Q184">
        <f t="shared" si="10"/>
        <v>710889</v>
      </c>
      <c r="R184">
        <v>2024</v>
      </c>
      <c r="X184" t="str">
        <f t="shared" ca="1" si="11"/>
        <v/>
      </c>
    </row>
    <row r="185" spans="1:24" x14ac:dyDescent="0.25">
      <c r="A185" t="s">
        <v>391</v>
      </c>
      <c r="B185" t="s">
        <v>392</v>
      </c>
      <c r="C185" t="s">
        <v>28</v>
      </c>
      <c r="D185" t="s">
        <v>13</v>
      </c>
      <c r="E185" s="1">
        <v>44934</v>
      </c>
      <c r="F185" t="s">
        <v>14</v>
      </c>
      <c r="G185">
        <v>8434</v>
      </c>
      <c r="H185">
        <v>5655</v>
      </c>
      <c r="I185">
        <v>3.62</v>
      </c>
      <c r="J185">
        <v>50</v>
      </c>
      <c r="M185">
        <f t="shared" ca="1" si="8"/>
        <v>915</v>
      </c>
      <c r="N185" s="3" t="str" cm="1">
        <f t="array" ref="N185">_xlfn.IFS(I185&gt;=3.5,"Excellent",I185&gt;=3,"Good",I185&gt;=2,"Average",I185&lt;2,"Poor")</f>
        <v>Excellent</v>
      </c>
      <c r="P185" t="str">
        <f t="shared" si="9"/>
        <v>True</v>
      </c>
      <c r="Q185">
        <f t="shared" si="10"/>
        <v>710889</v>
      </c>
      <c r="R185">
        <v>2023</v>
      </c>
      <c r="X185" t="str">
        <f t="shared" ca="1" si="11"/>
        <v/>
      </c>
    </row>
    <row r="186" spans="1:24" x14ac:dyDescent="0.25">
      <c r="A186" t="s">
        <v>393</v>
      </c>
      <c r="B186" t="s">
        <v>394</v>
      </c>
      <c r="C186" t="s">
        <v>57</v>
      </c>
      <c r="D186" t="s">
        <v>13</v>
      </c>
      <c r="E186" s="1">
        <v>45389</v>
      </c>
      <c r="F186" t="s">
        <v>39</v>
      </c>
      <c r="G186">
        <v>8637</v>
      </c>
      <c r="H186">
        <v>6872</v>
      </c>
      <c r="I186">
        <v>2.02</v>
      </c>
      <c r="J186">
        <v>2</v>
      </c>
      <c r="M186" t="str">
        <f t="shared" ca="1" si="8"/>
        <v/>
      </c>
      <c r="N186" s="3" t="str" cm="1">
        <f t="array" ref="N186">_xlfn.IFS(I186&gt;=3.5,"Excellent",I186&gt;=3,"Good",I186&gt;=2,"Average",I186&lt;2,"Poor")</f>
        <v>Average</v>
      </c>
      <c r="P186" t="str">
        <f t="shared" si="9"/>
        <v>True</v>
      </c>
      <c r="Q186">
        <f t="shared" si="10"/>
        <v>710889</v>
      </c>
      <c r="R186">
        <v>2024</v>
      </c>
      <c r="X186" t="str">
        <f t="shared" ca="1" si="11"/>
        <v/>
      </c>
    </row>
    <row r="187" spans="1:24" x14ac:dyDescent="0.25">
      <c r="A187" t="s">
        <v>395</v>
      </c>
      <c r="B187" t="s">
        <v>396</v>
      </c>
      <c r="C187" t="s">
        <v>22</v>
      </c>
      <c r="D187" t="s">
        <v>13</v>
      </c>
      <c r="E187" s="1">
        <v>44582</v>
      </c>
      <c r="F187" t="s">
        <v>14</v>
      </c>
      <c r="G187">
        <v>7498</v>
      </c>
      <c r="H187">
        <v>3801</v>
      </c>
      <c r="I187">
        <v>2.66</v>
      </c>
      <c r="J187">
        <v>61</v>
      </c>
      <c r="M187">
        <f t="shared" ca="1" si="8"/>
        <v>1267</v>
      </c>
      <c r="N187" s="3" t="str" cm="1">
        <f t="array" ref="N187">_xlfn.IFS(I187&gt;=3.5,"Excellent",I187&gt;=3,"Good",I187&gt;=2,"Average",I187&lt;2,"Poor")</f>
        <v>Average</v>
      </c>
      <c r="P187" t="str">
        <f t="shared" si="9"/>
        <v>True</v>
      </c>
      <c r="Q187">
        <f t="shared" si="10"/>
        <v>710889</v>
      </c>
      <c r="R187">
        <v>2022</v>
      </c>
      <c r="X187" t="str">
        <f t="shared" ca="1" si="11"/>
        <v/>
      </c>
    </row>
    <row r="188" spans="1:24" x14ac:dyDescent="0.25">
      <c r="A188" t="s">
        <v>397</v>
      </c>
      <c r="B188" t="s">
        <v>398</v>
      </c>
      <c r="C188" t="s">
        <v>54</v>
      </c>
      <c r="D188" t="s">
        <v>13</v>
      </c>
      <c r="E188" s="1">
        <v>44797</v>
      </c>
      <c r="F188" t="s">
        <v>14</v>
      </c>
      <c r="G188">
        <v>8592</v>
      </c>
      <c r="H188">
        <v>2399</v>
      </c>
      <c r="I188">
        <v>2.95</v>
      </c>
      <c r="J188">
        <v>113</v>
      </c>
      <c r="M188">
        <f t="shared" ca="1" si="8"/>
        <v>1052</v>
      </c>
      <c r="N188" s="3" t="str" cm="1">
        <f t="array" ref="N188">_xlfn.IFS(I188&gt;=3.5,"Excellent",I188&gt;=3,"Good",I188&gt;=2,"Average",I188&lt;2,"Poor")</f>
        <v>Average</v>
      </c>
      <c r="P188" t="str">
        <f t="shared" si="9"/>
        <v/>
      </c>
      <c r="Q188">
        <f t="shared" si="10"/>
        <v>710889</v>
      </c>
      <c r="R188">
        <v>2022</v>
      </c>
      <c r="X188" t="str">
        <f t="shared" ca="1" si="11"/>
        <v/>
      </c>
    </row>
    <row r="189" spans="1:24" x14ac:dyDescent="0.25">
      <c r="A189" t="s">
        <v>399</v>
      </c>
      <c r="B189" t="s">
        <v>400</v>
      </c>
      <c r="C189" t="s">
        <v>12</v>
      </c>
      <c r="D189" t="s">
        <v>18</v>
      </c>
      <c r="E189" s="1">
        <v>44935</v>
      </c>
      <c r="F189" t="s">
        <v>14</v>
      </c>
      <c r="G189">
        <v>13019</v>
      </c>
      <c r="H189">
        <v>9320</v>
      </c>
      <c r="I189">
        <v>3.4</v>
      </c>
      <c r="J189">
        <v>5</v>
      </c>
      <c r="M189">
        <f t="shared" ca="1" si="8"/>
        <v>914</v>
      </c>
      <c r="N189" s="3" t="str" cm="1">
        <f t="array" ref="N189">_xlfn.IFS(I189&gt;=3.5,"Excellent",I189&gt;=3,"Good",I189&gt;=2,"Average",I189&lt;2,"Poor")</f>
        <v>Good</v>
      </c>
      <c r="P189" t="str">
        <f t="shared" si="9"/>
        <v>True</v>
      </c>
      <c r="Q189">
        <f t="shared" si="10"/>
        <v>710889</v>
      </c>
      <c r="R189">
        <v>2023</v>
      </c>
      <c r="X189" t="str">
        <f t="shared" ca="1" si="11"/>
        <v/>
      </c>
    </row>
    <row r="190" spans="1:24" x14ac:dyDescent="0.25">
      <c r="A190" t="s">
        <v>401</v>
      </c>
      <c r="B190" t="s">
        <v>402</v>
      </c>
      <c r="C190" t="s">
        <v>28</v>
      </c>
      <c r="D190" t="s">
        <v>62</v>
      </c>
      <c r="E190" s="1">
        <v>45333</v>
      </c>
      <c r="F190" t="s">
        <v>14</v>
      </c>
      <c r="G190">
        <v>4919</v>
      </c>
      <c r="H190">
        <v>1822</v>
      </c>
      <c r="I190">
        <v>2.46</v>
      </c>
      <c r="J190">
        <v>38</v>
      </c>
      <c r="M190">
        <f t="shared" ca="1" si="8"/>
        <v>516</v>
      </c>
      <c r="N190" s="3" t="str" cm="1">
        <f t="array" ref="N190">_xlfn.IFS(I190&gt;=3.5,"Excellent",I190&gt;=3,"Good",I190&gt;=2,"Average",I190&lt;2,"Poor")</f>
        <v>Average</v>
      </c>
      <c r="P190" t="str">
        <f t="shared" si="9"/>
        <v/>
      </c>
      <c r="Q190">
        <f t="shared" si="10"/>
        <v>710889</v>
      </c>
      <c r="R190">
        <v>2024</v>
      </c>
      <c r="X190" t="str">
        <f t="shared" ca="1" si="11"/>
        <v/>
      </c>
    </row>
    <row r="191" spans="1:24" x14ac:dyDescent="0.25">
      <c r="A191" t="s">
        <v>403</v>
      </c>
      <c r="B191" t="s">
        <v>404</v>
      </c>
      <c r="C191" t="s">
        <v>17</v>
      </c>
      <c r="D191" t="s">
        <v>62</v>
      </c>
      <c r="E191" s="1">
        <v>45038</v>
      </c>
      <c r="F191" t="s">
        <v>14</v>
      </c>
      <c r="G191">
        <v>2581</v>
      </c>
      <c r="H191">
        <v>8966</v>
      </c>
      <c r="I191">
        <v>3.75</v>
      </c>
      <c r="J191">
        <v>22</v>
      </c>
      <c r="M191">
        <f t="shared" ca="1" si="8"/>
        <v>811</v>
      </c>
      <c r="N191" s="3" t="str" cm="1">
        <f t="array" ref="N191">_xlfn.IFS(I191&gt;=3.5,"Excellent",I191&gt;=3,"Good",I191&gt;=2,"Average",I191&lt;2,"Poor")</f>
        <v>Excellent</v>
      </c>
      <c r="P191" t="str">
        <f t="shared" si="9"/>
        <v>True</v>
      </c>
      <c r="Q191">
        <f t="shared" si="10"/>
        <v>710889</v>
      </c>
      <c r="R191">
        <v>2023</v>
      </c>
      <c r="X191" t="str">
        <f t="shared" ca="1" si="11"/>
        <v/>
      </c>
    </row>
    <row r="192" spans="1:24" x14ac:dyDescent="0.25">
      <c r="A192" t="s">
        <v>405</v>
      </c>
      <c r="B192" t="s">
        <v>406</v>
      </c>
      <c r="C192" t="s">
        <v>54</v>
      </c>
      <c r="D192" t="s">
        <v>31</v>
      </c>
      <c r="E192" s="1">
        <v>45000</v>
      </c>
      <c r="F192" t="s">
        <v>14</v>
      </c>
      <c r="G192">
        <v>7675</v>
      </c>
      <c r="H192">
        <v>2892</v>
      </c>
      <c r="I192">
        <v>3.24</v>
      </c>
      <c r="J192">
        <v>62</v>
      </c>
      <c r="M192">
        <f t="shared" ca="1" si="8"/>
        <v>849</v>
      </c>
      <c r="N192" s="3" t="str" cm="1">
        <f t="array" ref="N192">_xlfn.IFS(I192&gt;=3.5,"Excellent",I192&gt;=3,"Good",I192&gt;=2,"Average",I192&lt;2,"Poor")</f>
        <v>Good</v>
      </c>
      <c r="P192" t="str">
        <f t="shared" si="9"/>
        <v/>
      </c>
      <c r="Q192">
        <f t="shared" si="10"/>
        <v>710889</v>
      </c>
      <c r="R192">
        <v>2023</v>
      </c>
      <c r="X192" t="str">
        <f t="shared" ca="1" si="11"/>
        <v/>
      </c>
    </row>
    <row r="193" spans="1:24" x14ac:dyDescent="0.25">
      <c r="A193" t="s">
        <v>407</v>
      </c>
      <c r="B193" t="s">
        <v>408</v>
      </c>
      <c r="C193" t="s">
        <v>28</v>
      </c>
      <c r="D193" t="s">
        <v>18</v>
      </c>
      <c r="E193" s="1">
        <v>45036</v>
      </c>
      <c r="F193" t="s">
        <v>14</v>
      </c>
      <c r="G193">
        <v>3222</v>
      </c>
      <c r="H193">
        <v>2025</v>
      </c>
      <c r="I193">
        <v>2.38</v>
      </c>
      <c r="J193">
        <v>6</v>
      </c>
      <c r="M193">
        <f t="shared" ca="1" si="8"/>
        <v>813</v>
      </c>
      <c r="N193" s="3" t="str" cm="1">
        <f t="array" ref="N193">_xlfn.IFS(I193&gt;=3.5,"Excellent",I193&gt;=3,"Good",I193&gt;=2,"Average",I193&lt;2,"Poor")</f>
        <v>Average</v>
      </c>
      <c r="P193" t="str">
        <f t="shared" si="9"/>
        <v>True</v>
      </c>
      <c r="Q193">
        <f t="shared" si="10"/>
        <v>710889</v>
      </c>
      <c r="R193">
        <v>2023</v>
      </c>
      <c r="X193" t="str">
        <f t="shared" ca="1" si="11"/>
        <v/>
      </c>
    </row>
    <row r="194" spans="1:24" x14ac:dyDescent="0.25">
      <c r="A194" t="s">
        <v>409</v>
      </c>
      <c r="B194" t="s">
        <v>410</v>
      </c>
      <c r="C194" t="s">
        <v>17</v>
      </c>
      <c r="D194" t="s">
        <v>18</v>
      </c>
      <c r="E194" s="1">
        <v>44606</v>
      </c>
      <c r="F194" t="s">
        <v>14</v>
      </c>
      <c r="G194">
        <v>14952</v>
      </c>
      <c r="H194">
        <v>2236</v>
      </c>
      <c r="I194">
        <v>2.34</v>
      </c>
      <c r="J194">
        <v>77</v>
      </c>
      <c r="M194">
        <f t="shared" ca="1" si="8"/>
        <v>1243</v>
      </c>
      <c r="N194" s="3" t="str" cm="1">
        <f t="array" ref="N194">_xlfn.IFS(I194&gt;=3.5,"Excellent",I194&gt;=3,"Good",I194&gt;=2,"Average",I194&lt;2,"Poor")</f>
        <v>Average</v>
      </c>
      <c r="P194" t="str">
        <f t="shared" si="9"/>
        <v/>
      </c>
      <c r="Q194">
        <f t="shared" si="10"/>
        <v>710889</v>
      </c>
      <c r="R194">
        <v>2022</v>
      </c>
      <c r="X194" t="str">
        <f t="shared" ca="1" si="11"/>
        <v/>
      </c>
    </row>
    <row r="195" spans="1:24" x14ac:dyDescent="0.25">
      <c r="A195" t="s">
        <v>411</v>
      </c>
      <c r="B195" t="s">
        <v>412</v>
      </c>
      <c r="C195" t="s">
        <v>17</v>
      </c>
      <c r="D195" t="s">
        <v>13</v>
      </c>
      <c r="E195" s="1">
        <v>44678</v>
      </c>
      <c r="F195" t="s">
        <v>14</v>
      </c>
      <c r="G195">
        <v>2577</v>
      </c>
      <c r="H195">
        <v>8811</v>
      </c>
      <c r="I195">
        <v>3.43</v>
      </c>
      <c r="J195">
        <v>99</v>
      </c>
      <c r="M195">
        <f t="shared" ref="M195:M258" ca="1" si="12">IF(F195="Enrolled",TODAY()-E195,"")</f>
        <v>1171</v>
      </c>
      <c r="N195" s="3" t="str" cm="1">
        <f t="array" ref="N195">_xlfn.IFS(I195&gt;=3.5,"Excellent",I195&gt;=3,"Good",I195&gt;=2,"Average",I195&lt;2,"Poor")</f>
        <v>Good</v>
      </c>
      <c r="P195" t="str">
        <f t="shared" ref="P195:P258" si="13">IF(H195&gt;0.5*G195,"True","")</f>
        <v>True</v>
      </c>
      <c r="Q195">
        <f t="shared" ref="Q195:Q258" si="14">SUMIFS(G195:G1394,F195:F1394,"Completed",D195:D1394,"Science")</f>
        <v>710889</v>
      </c>
      <c r="R195">
        <v>2022</v>
      </c>
      <c r="X195" t="str">
        <f t="shared" ref="X195:X258" ca="1" si="15">IF(F195="Completed",TODAY()-E195,"")</f>
        <v/>
      </c>
    </row>
    <row r="196" spans="1:24" x14ac:dyDescent="0.25">
      <c r="A196" t="s">
        <v>413</v>
      </c>
      <c r="B196" t="s">
        <v>414</v>
      </c>
      <c r="C196" t="s">
        <v>57</v>
      </c>
      <c r="D196" t="s">
        <v>31</v>
      </c>
      <c r="E196" s="1">
        <v>44861</v>
      </c>
      <c r="F196" t="s">
        <v>39</v>
      </c>
      <c r="G196">
        <v>8254</v>
      </c>
      <c r="H196">
        <v>1754</v>
      </c>
      <c r="I196">
        <v>3.3</v>
      </c>
      <c r="J196">
        <v>97</v>
      </c>
      <c r="M196" t="str">
        <f t="shared" ca="1" si="12"/>
        <v/>
      </c>
      <c r="N196" s="3" t="str" cm="1">
        <f t="array" ref="N196">_xlfn.IFS(I196&gt;=3.5,"Excellent",I196&gt;=3,"Good",I196&gt;=2,"Average",I196&lt;2,"Poor")</f>
        <v>Good</v>
      </c>
      <c r="P196" t="str">
        <f t="shared" si="13"/>
        <v/>
      </c>
      <c r="Q196">
        <f t="shared" si="14"/>
        <v>710889</v>
      </c>
      <c r="R196">
        <v>2022</v>
      </c>
      <c r="X196" t="str">
        <f t="shared" ca="1" si="15"/>
        <v/>
      </c>
    </row>
    <row r="197" spans="1:24" x14ac:dyDescent="0.25">
      <c r="A197" t="s">
        <v>415</v>
      </c>
      <c r="B197" t="s">
        <v>416</v>
      </c>
      <c r="C197" t="s">
        <v>36</v>
      </c>
      <c r="D197" t="s">
        <v>31</v>
      </c>
      <c r="E197" s="1">
        <v>45368</v>
      </c>
      <c r="F197" t="s">
        <v>39</v>
      </c>
      <c r="G197">
        <v>3770</v>
      </c>
      <c r="H197">
        <v>4072</v>
      </c>
      <c r="I197">
        <v>2.73</v>
      </c>
      <c r="J197">
        <v>23</v>
      </c>
      <c r="M197" t="str">
        <f t="shared" ca="1" si="12"/>
        <v/>
      </c>
      <c r="N197" s="3" t="str" cm="1">
        <f t="array" ref="N197">_xlfn.IFS(I197&gt;=3.5,"Excellent",I197&gt;=3,"Good",I197&gt;=2,"Average",I197&lt;2,"Poor")</f>
        <v>Average</v>
      </c>
      <c r="P197" t="str">
        <f t="shared" si="13"/>
        <v>True</v>
      </c>
      <c r="Q197">
        <f t="shared" si="14"/>
        <v>710889</v>
      </c>
      <c r="R197">
        <v>2024</v>
      </c>
      <c r="X197" t="str">
        <f t="shared" ca="1" si="15"/>
        <v/>
      </c>
    </row>
    <row r="198" spans="1:24" x14ac:dyDescent="0.25">
      <c r="A198" t="s">
        <v>417</v>
      </c>
      <c r="B198" t="s">
        <v>418</v>
      </c>
      <c r="C198" t="s">
        <v>22</v>
      </c>
      <c r="D198" t="s">
        <v>18</v>
      </c>
      <c r="E198" s="1">
        <v>44613</v>
      </c>
      <c r="F198" t="s">
        <v>14</v>
      </c>
      <c r="G198">
        <v>8294</v>
      </c>
      <c r="H198">
        <v>3336</v>
      </c>
      <c r="I198">
        <v>2.5099999999999998</v>
      </c>
      <c r="J198">
        <v>80</v>
      </c>
      <c r="M198">
        <f t="shared" ca="1" si="12"/>
        <v>1236</v>
      </c>
      <c r="N198" s="3" t="str" cm="1">
        <f t="array" ref="N198">_xlfn.IFS(I198&gt;=3.5,"Excellent",I198&gt;=3,"Good",I198&gt;=2,"Average",I198&lt;2,"Poor")</f>
        <v>Average</v>
      </c>
      <c r="P198" t="str">
        <f t="shared" si="13"/>
        <v/>
      </c>
      <c r="Q198">
        <f t="shared" si="14"/>
        <v>710889</v>
      </c>
      <c r="R198">
        <v>2022</v>
      </c>
      <c r="X198" t="str">
        <f t="shared" ca="1" si="15"/>
        <v/>
      </c>
    </row>
    <row r="199" spans="1:24" x14ac:dyDescent="0.25">
      <c r="A199" t="s">
        <v>419</v>
      </c>
      <c r="B199" t="s">
        <v>420</v>
      </c>
      <c r="C199" t="s">
        <v>28</v>
      </c>
      <c r="D199" t="s">
        <v>31</v>
      </c>
      <c r="E199" s="1">
        <v>44680</v>
      </c>
      <c r="F199" t="s">
        <v>14</v>
      </c>
      <c r="G199">
        <v>11110</v>
      </c>
      <c r="H199">
        <v>5912</v>
      </c>
      <c r="I199">
        <v>2.83</v>
      </c>
      <c r="J199">
        <v>93</v>
      </c>
      <c r="M199">
        <f t="shared" ca="1" si="12"/>
        <v>1169</v>
      </c>
      <c r="N199" s="3" t="str" cm="1">
        <f t="array" ref="N199">_xlfn.IFS(I199&gt;=3.5,"Excellent",I199&gt;=3,"Good",I199&gt;=2,"Average",I199&lt;2,"Poor")</f>
        <v>Average</v>
      </c>
      <c r="P199" t="str">
        <f t="shared" si="13"/>
        <v>True</v>
      </c>
      <c r="Q199">
        <f t="shared" si="14"/>
        <v>710889</v>
      </c>
      <c r="R199">
        <v>2022</v>
      </c>
      <c r="X199" t="str">
        <f t="shared" ca="1" si="15"/>
        <v/>
      </c>
    </row>
    <row r="200" spans="1:24" x14ac:dyDescent="0.25">
      <c r="A200" t="s">
        <v>421</v>
      </c>
      <c r="B200" t="s">
        <v>422</v>
      </c>
      <c r="C200" t="s">
        <v>28</v>
      </c>
      <c r="D200" t="s">
        <v>62</v>
      </c>
      <c r="E200" s="1">
        <v>45031</v>
      </c>
      <c r="F200" t="s">
        <v>14</v>
      </c>
      <c r="G200">
        <v>4826</v>
      </c>
      <c r="H200">
        <v>9578</v>
      </c>
      <c r="I200">
        <v>3.3</v>
      </c>
      <c r="J200">
        <v>48</v>
      </c>
      <c r="M200">
        <f t="shared" ca="1" si="12"/>
        <v>818</v>
      </c>
      <c r="N200" s="3" t="str" cm="1">
        <f t="array" ref="N200">_xlfn.IFS(I200&gt;=3.5,"Excellent",I200&gt;=3,"Good",I200&gt;=2,"Average",I200&lt;2,"Poor")</f>
        <v>Good</v>
      </c>
      <c r="P200" t="str">
        <f t="shared" si="13"/>
        <v>True</v>
      </c>
      <c r="Q200">
        <f t="shared" si="14"/>
        <v>710889</v>
      </c>
      <c r="R200">
        <v>2023</v>
      </c>
      <c r="X200" t="str">
        <f t="shared" ca="1" si="15"/>
        <v/>
      </c>
    </row>
    <row r="201" spans="1:24" x14ac:dyDescent="0.25">
      <c r="A201" t="s">
        <v>423</v>
      </c>
      <c r="B201" t="s">
        <v>424</v>
      </c>
      <c r="C201" t="s">
        <v>25</v>
      </c>
      <c r="D201" t="s">
        <v>62</v>
      </c>
      <c r="E201" s="1">
        <v>44569</v>
      </c>
      <c r="F201" t="s">
        <v>14</v>
      </c>
      <c r="G201">
        <v>9328</v>
      </c>
      <c r="H201">
        <v>5482</v>
      </c>
      <c r="I201">
        <v>2.5099999999999998</v>
      </c>
      <c r="J201">
        <v>78</v>
      </c>
      <c r="M201">
        <f t="shared" ca="1" si="12"/>
        <v>1280</v>
      </c>
      <c r="N201" s="3" t="str" cm="1">
        <f t="array" ref="N201">_xlfn.IFS(I201&gt;=3.5,"Excellent",I201&gt;=3,"Good",I201&gt;=2,"Average",I201&lt;2,"Poor")</f>
        <v>Average</v>
      </c>
      <c r="P201" t="str">
        <f t="shared" si="13"/>
        <v>True</v>
      </c>
      <c r="Q201">
        <f t="shared" si="14"/>
        <v>710889</v>
      </c>
      <c r="R201">
        <v>2022</v>
      </c>
      <c r="X201" t="str">
        <f t="shared" ca="1" si="15"/>
        <v/>
      </c>
    </row>
    <row r="202" spans="1:24" x14ac:dyDescent="0.25">
      <c r="A202" t="s">
        <v>425</v>
      </c>
      <c r="B202" t="s">
        <v>426</v>
      </c>
      <c r="C202" t="s">
        <v>22</v>
      </c>
      <c r="D202" t="s">
        <v>62</v>
      </c>
      <c r="E202" s="1">
        <v>45233</v>
      </c>
      <c r="F202" t="s">
        <v>19</v>
      </c>
      <c r="G202">
        <v>10414</v>
      </c>
      <c r="H202">
        <v>3254</v>
      </c>
      <c r="I202">
        <v>2.36</v>
      </c>
      <c r="J202">
        <v>48</v>
      </c>
      <c r="M202" t="str">
        <f t="shared" ca="1" si="12"/>
        <v/>
      </c>
      <c r="N202" s="3" t="str" cm="1">
        <f t="array" ref="N202">_xlfn.IFS(I202&gt;=3.5,"Excellent",I202&gt;=3,"Good",I202&gt;=2,"Average",I202&lt;2,"Poor")</f>
        <v>Average</v>
      </c>
      <c r="P202" t="str">
        <f t="shared" si="13"/>
        <v/>
      </c>
      <c r="Q202">
        <f t="shared" si="14"/>
        <v>710889</v>
      </c>
      <c r="R202">
        <v>2023</v>
      </c>
      <c r="X202">
        <f t="shared" ca="1" si="15"/>
        <v>616</v>
      </c>
    </row>
    <row r="203" spans="1:24" x14ac:dyDescent="0.25">
      <c r="A203" t="s">
        <v>427</v>
      </c>
      <c r="B203" t="s">
        <v>428</v>
      </c>
      <c r="C203" t="s">
        <v>54</v>
      </c>
      <c r="D203" t="s">
        <v>62</v>
      </c>
      <c r="E203" s="1">
        <v>44813</v>
      </c>
      <c r="F203" t="s">
        <v>14</v>
      </c>
      <c r="G203">
        <v>5868</v>
      </c>
      <c r="H203">
        <v>3160</v>
      </c>
      <c r="I203">
        <v>3.33</v>
      </c>
      <c r="J203">
        <v>47</v>
      </c>
      <c r="M203">
        <f t="shared" ca="1" si="12"/>
        <v>1036</v>
      </c>
      <c r="N203" s="3" t="str" cm="1">
        <f t="array" ref="N203">_xlfn.IFS(I203&gt;=3.5,"Excellent",I203&gt;=3,"Good",I203&gt;=2,"Average",I203&lt;2,"Poor")</f>
        <v>Good</v>
      </c>
      <c r="P203" t="str">
        <f t="shared" si="13"/>
        <v>True</v>
      </c>
      <c r="Q203">
        <f t="shared" si="14"/>
        <v>710889</v>
      </c>
      <c r="R203">
        <v>2022</v>
      </c>
      <c r="X203" t="str">
        <f t="shared" ca="1" si="15"/>
        <v/>
      </c>
    </row>
    <row r="204" spans="1:24" x14ac:dyDescent="0.25">
      <c r="A204" t="s">
        <v>429</v>
      </c>
      <c r="B204" t="s">
        <v>430</v>
      </c>
      <c r="C204" t="s">
        <v>25</v>
      </c>
      <c r="D204" t="s">
        <v>13</v>
      </c>
      <c r="E204" s="1">
        <v>45056</v>
      </c>
      <c r="F204" t="s">
        <v>14</v>
      </c>
      <c r="G204">
        <v>13500</v>
      </c>
      <c r="H204">
        <v>3151</v>
      </c>
      <c r="I204">
        <v>2.34</v>
      </c>
      <c r="J204">
        <v>114</v>
      </c>
      <c r="M204">
        <f t="shared" ca="1" si="12"/>
        <v>793</v>
      </c>
      <c r="N204" s="3" t="str" cm="1">
        <f t="array" ref="N204">_xlfn.IFS(I204&gt;=3.5,"Excellent",I204&gt;=3,"Good",I204&gt;=2,"Average",I204&lt;2,"Poor")</f>
        <v>Average</v>
      </c>
      <c r="P204" t="str">
        <f t="shared" si="13"/>
        <v/>
      </c>
      <c r="Q204">
        <f t="shared" si="14"/>
        <v>710889</v>
      </c>
      <c r="R204">
        <v>2023</v>
      </c>
      <c r="X204" t="str">
        <f t="shared" ca="1" si="15"/>
        <v/>
      </c>
    </row>
    <row r="205" spans="1:24" x14ac:dyDescent="0.25">
      <c r="A205" t="s">
        <v>431</v>
      </c>
      <c r="B205" t="s">
        <v>432</v>
      </c>
      <c r="C205" t="s">
        <v>22</v>
      </c>
      <c r="D205" t="s">
        <v>31</v>
      </c>
      <c r="E205" s="1">
        <v>44895</v>
      </c>
      <c r="F205" t="s">
        <v>14</v>
      </c>
      <c r="G205">
        <v>5931</v>
      </c>
      <c r="H205">
        <v>8777</v>
      </c>
      <c r="I205">
        <v>3.86</v>
      </c>
      <c r="J205">
        <v>31</v>
      </c>
      <c r="M205">
        <f t="shared" ca="1" si="12"/>
        <v>954</v>
      </c>
      <c r="N205" s="3" t="str" cm="1">
        <f t="array" ref="N205">_xlfn.IFS(I205&gt;=3.5,"Excellent",I205&gt;=3,"Good",I205&gt;=2,"Average",I205&lt;2,"Poor")</f>
        <v>Excellent</v>
      </c>
      <c r="P205" t="str">
        <f t="shared" si="13"/>
        <v>True</v>
      </c>
      <c r="Q205">
        <f t="shared" si="14"/>
        <v>710889</v>
      </c>
      <c r="R205">
        <v>2022</v>
      </c>
      <c r="X205" t="str">
        <f t="shared" ca="1" si="15"/>
        <v/>
      </c>
    </row>
    <row r="206" spans="1:24" x14ac:dyDescent="0.25">
      <c r="A206" t="s">
        <v>433</v>
      </c>
      <c r="B206" t="s">
        <v>434</v>
      </c>
      <c r="C206" t="s">
        <v>12</v>
      </c>
      <c r="D206" t="s">
        <v>18</v>
      </c>
      <c r="E206" s="1">
        <v>45454</v>
      </c>
      <c r="F206" t="s">
        <v>19</v>
      </c>
      <c r="G206">
        <v>9066</v>
      </c>
      <c r="H206">
        <v>7848</v>
      </c>
      <c r="I206">
        <v>2.21</v>
      </c>
      <c r="J206">
        <v>26</v>
      </c>
      <c r="M206" t="str">
        <f t="shared" ca="1" si="12"/>
        <v/>
      </c>
      <c r="N206" s="3" t="str" cm="1">
        <f t="array" ref="N206">_xlfn.IFS(I206&gt;=3.5,"Excellent",I206&gt;=3,"Good",I206&gt;=2,"Average",I206&lt;2,"Poor")</f>
        <v>Average</v>
      </c>
      <c r="P206" t="str">
        <f t="shared" si="13"/>
        <v>True</v>
      </c>
      <c r="Q206">
        <f t="shared" si="14"/>
        <v>710889</v>
      </c>
      <c r="R206">
        <v>2024</v>
      </c>
      <c r="X206">
        <f t="shared" ca="1" si="15"/>
        <v>395</v>
      </c>
    </row>
    <row r="207" spans="1:24" x14ac:dyDescent="0.25">
      <c r="A207" t="s">
        <v>435</v>
      </c>
      <c r="B207" t="s">
        <v>436</v>
      </c>
      <c r="C207" t="s">
        <v>17</v>
      </c>
      <c r="D207" t="s">
        <v>13</v>
      </c>
      <c r="E207" s="1">
        <v>44730</v>
      </c>
      <c r="F207" t="s">
        <v>14</v>
      </c>
      <c r="G207">
        <v>7462</v>
      </c>
      <c r="H207">
        <v>1641</v>
      </c>
      <c r="I207">
        <v>3.01</v>
      </c>
      <c r="J207">
        <v>72</v>
      </c>
      <c r="M207">
        <f t="shared" ca="1" si="12"/>
        <v>1119</v>
      </c>
      <c r="N207" s="3" t="str" cm="1">
        <f t="array" ref="N207">_xlfn.IFS(I207&gt;=3.5,"Excellent",I207&gt;=3,"Good",I207&gt;=2,"Average",I207&lt;2,"Poor")</f>
        <v>Good</v>
      </c>
      <c r="P207" t="str">
        <f t="shared" si="13"/>
        <v/>
      </c>
      <c r="Q207">
        <f t="shared" si="14"/>
        <v>701823</v>
      </c>
      <c r="R207">
        <v>2022</v>
      </c>
      <c r="X207" t="str">
        <f t="shared" ca="1" si="15"/>
        <v/>
      </c>
    </row>
    <row r="208" spans="1:24" x14ac:dyDescent="0.25">
      <c r="A208" t="s">
        <v>437</v>
      </c>
      <c r="B208" t="s">
        <v>438</v>
      </c>
      <c r="C208" t="s">
        <v>28</v>
      </c>
      <c r="D208" t="s">
        <v>62</v>
      </c>
      <c r="E208" s="1">
        <v>45163</v>
      </c>
      <c r="F208" t="s">
        <v>14</v>
      </c>
      <c r="G208">
        <v>13915</v>
      </c>
      <c r="H208">
        <v>3698</v>
      </c>
      <c r="I208">
        <v>3</v>
      </c>
      <c r="J208">
        <v>79</v>
      </c>
      <c r="M208">
        <f t="shared" ca="1" si="12"/>
        <v>686</v>
      </c>
      <c r="N208" s="3" t="str" cm="1">
        <f t="array" ref="N208">_xlfn.IFS(I208&gt;=3.5,"Excellent",I208&gt;=3,"Good",I208&gt;=2,"Average",I208&lt;2,"Poor")</f>
        <v>Good</v>
      </c>
      <c r="P208" t="str">
        <f t="shared" si="13"/>
        <v/>
      </c>
      <c r="Q208">
        <f t="shared" si="14"/>
        <v>701823</v>
      </c>
      <c r="R208">
        <v>2023</v>
      </c>
      <c r="X208" t="str">
        <f t="shared" ca="1" si="15"/>
        <v/>
      </c>
    </row>
    <row r="209" spans="1:24" x14ac:dyDescent="0.25">
      <c r="A209" t="s">
        <v>439</v>
      </c>
      <c r="B209" t="s">
        <v>440</v>
      </c>
      <c r="C209" t="s">
        <v>22</v>
      </c>
      <c r="D209" t="s">
        <v>62</v>
      </c>
      <c r="E209" s="1">
        <v>44683</v>
      </c>
      <c r="F209" t="s">
        <v>19</v>
      </c>
      <c r="G209">
        <v>10682</v>
      </c>
      <c r="H209">
        <v>3998</v>
      </c>
      <c r="I209">
        <v>2.58</v>
      </c>
      <c r="J209">
        <v>34</v>
      </c>
      <c r="M209" t="str">
        <f t="shared" ca="1" si="12"/>
        <v/>
      </c>
      <c r="N209" s="3" t="str" cm="1">
        <f t="array" ref="N209">_xlfn.IFS(I209&gt;=3.5,"Excellent",I209&gt;=3,"Good",I209&gt;=2,"Average",I209&lt;2,"Poor")</f>
        <v>Average</v>
      </c>
      <c r="P209" t="str">
        <f t="shared" si="13"/>
        <v/>
      </c>
      <c r="Q209">
        <f t="shared" si="14"/>
        <v>701823</v>
      </c>
      <c r="R209">
        <v>2022</v>
      </c>
      <c r="X209">
        <f t="shared" ca="1" si="15"/>
        <v>1166</v>
      </c>
    </row>
    <row r="210" spans="1:24" x14ac:dyDescent="0.25">
      <c r="A210" t="s">
        <v>441</v>
      </c>
      <c r="B210" t="s">
        <v>442</v>
      </c>
      <c r="C210" t="s">
        <v>22</v>
      </c>
      <c r="D210" t="s">
        <v>13</v>
      </c>
      <c r="E210" s="1">
        <v>44565</v>
      </c>
      <c r="F210" t="s">
        <v>14</v>
      </c>
      <c r="G210">
        <v>7804</v>
      </c>
      <c r="H210">
        <v>1458</v>
      </c>
      <c r="I210">
        <v>3.63</v>
      </c>
      <c r="J210">
        <v>68</v>
      </c>
      <c r="M210">
        <f t="shared" ca="1" si="12"/>
        <v>1284</v>
      </c>
      <c r="N210" s="3" t="str" cm="1">
        <f t="array" ref="N210">_xlfn.IFS(I210&gt;=3.5,"Excellent",I210&gt;=3,"Good",I210&gt;=2,"Average",I210&lt;2,"Poor")</f>
        <v>Excellent</v>
      </c>
      <c r="P210" t="str">
        <f t="shared" si="13"/>
        <v/>
      </c>
      <c r="Q210">
        <f t="shared" si="14"/>
        <v>701823</v>
      </c>
      <c r="R210">
        <v>2022</v>
      </c>
      <c r="X210" t="str">
        <f t="shared" ca="1" si="15"/>
        <v/>
      </c>
    </row>
    <row r="211" spans="1:24" x14ac:dyDescent="0.25">
      <c r="A211" t="s">
        <v>443</v>
      </c>
      <c r="B211" t="s">
        <v>444</v>
      </c>
      <c r="C211" t="s">
        <v>36</v>
      </c>
      <c r="D211" t="s">
        <v>13</v>
      </c>
      <c r="E211" s="1">
        <v>45433</v>
      </c>
      <c r="F211" t="s">
        <v>19</v>
      </c>
      <c r="G211">
        <v>14208</v>
      </c>
      <c r="H211">
        <v>1610</v>
      </c>
      <c r="I211">
        <v>2.4</v>
      </c>
      <c r="J211">
        <v>64</v>
      </c>
      <c r="M211" t="str">
        <f t="shared" ca="1" si="12"/>
        <v/>
      </c>
      <c r="N211" s="3" t="str" cm="1">
        <f t="array" ref="N211">_xlfn.IFS(I211&gt;=3.5,"Excellent",I211&gt;=3,"Good",I211&gt;=2,"Average",I211&lt;2,"Poor")</f>
        <v>Average</v>
      </c>
      <c r="P211" t="str">
        <f t="shared" si="13"/>
        <v/>
      </c>
      <c r="Q211">
        <f t="shared" si="14"/>
        <v>701823</v>
      </c>
      <c r="R211">
        <v>2024</v>
      </c>
      <c r="X211">
        <f t="shared" ca="1" si="15"/>
        <v>416</v>
      </c>
    </row>
    <row r="212" spans="1:24" x14ac:dyDescent="0.25">
      <c r="A212" t="s">
        <v>445</v>
      </c>
      <c r="B212" t="s">
        <v>446</v>
      </c>
      <c r="C212" t="s">
        <v>22</v>
      </c>
      <c r="D212" t="s">
        <v>18</v>
      </c>
      <c r="E212" s="1">
        <v>45400</v>
      </c>
      <c r="F212" t="s">
        <v>39</v>
      </c>
      <c r="G212">
        <v>10912</v>
      </c>
      <c r="H212">
        <v>7036</v>
      </c>
      <c r="I212">
        <v>2.34</v>
      </c>
      <c r="J212">
        <v>43</v>
      </c>
      <c r="M212" t="str">
        <f t="shared" ca="1" si="12"/>
        <v/>
      </c>
      <c r="N212" s="3" t="str" cm="1">
        <f t="array" ref="N212">_xlfn.IFS(I212&gt;=3.5,"Excellent",I212&gt;=3,"Good",I212&gt;=2,"Average",I212&lt;2,"Poor")</f>
        <v>Average</v>
      </c>
      <c r="P212" t="str">
        <f t="shared" si="13"/>
        <v>True</v>
      </c>
      <c r="Q212">
        <f t="shared" si="14"/>
        <v>701823</v>
      </c>
      <c r="R212">
        <v>2024</v>
      </c>
      <c r="X212" t="str">
        <f t="shared" ca="1" si="15"/>
        <v/>
      </c>
    </row>
    <row r="213" spans="1:24" x14ac:dyDescent="0.25">
      <c r="A213" t="s">
        <v>447</v>
      </c>
      <c r="B213" t="s">
        <v>448</v>
      </c>
      <c r="C213" t="s">
        <v>17</v>
      </c>
      <c r="D213" t="s">
        <v>13</v>
      </c>
      <c r="E213" s="1">
        <v>45231</v>
      </c>
      <c r="F213" t="s">
        <v>14</v>
      </c>
      <c r="G213">
        <v>4292</v>
      </c>
      <c r="H213">
        <v>5770</v>
      </c>
      <c r="I213">
        <v>3.5</v>
      </c>
      <c r="J213">
        <v>96</v>
      </c>
      <c r="M213">
        <f t="shared" ca="1" si="12"/>
        <v>618</v>
      </c>
      <c r="N213" s="3" t="str" cm="1">
        <f t="array" ref="N213">_xlfn.IFS(I213&gt;=3.5,"Excellent",I213&gt;=3,"Good",I213&gt;=2,"Average",I213&lt;2,"Poor")</f>
        <v>Excellent</v>
      </c>
      <c r="P213" t="str">
        <f t="shared" si="13"/>
        <v>True</v>
      </c>
      <c r="Q213">
        <f t="shared" si="14"/>
        <v>701823</v>
      </c>
      <c r="R213">
        <v>2023</v>
      </c>
      <c r="X213" t="str">
        <f t="shared" ca="1" si="15"/>
        <v/>
      </c>
    </row>
    <row r="214" spans="1:24" x14ac:dyDescent="0.25">
      <c r="A214" t="s">
        <v>449</v>
      </c>
      <c r="B214" t="s">
        <v>450</v>
      </c>
      <c r="C214" t="s">
        <v>28</v>
      </c>
      <c r="D214" t="s">
        <v>31</v>
      </c>
      <c r="E214" s="1">
        <v>45245</v>
      </c>
      <c r="F214" t="s">
        <v>19</v>
      </c>
      <c r="G214">
        <v>13557</v>
      </c>
      <c r="H214">
        <v>7162</v>
      </c>
      <c r="I214">
        <v>2.0299999999999998</v>
      </c>
      <c r="J214">
        <v>111</v>
      </c>
      <c r="M214" t="str">
        <f t="shared" ca="1" si="12"/>
        <v/>
      </c>
      <c r="N214" s="3" t="str" cm="1">
        <f t="array" ref="N214">_xlfn.IFS(I214&gt;=3.5,"Excellent",I214&gt;=3,"Good",I214&gt;=2,"Average",I214&lt;2,"Poor")</f>
        <v>Average</v>
      </c>
      <c r="P214" t="str">
        <f t="shared" si="13"/>
        <v>True</v>
      </c>
      <c r="Q214">
        <f t="shared" si="14"/>
        <v>701823</v>
      </c>
      <c r="R214">
        <v>2023</v>
      </c>
      <c r="X214">
        <f t="shared" ca="1" si="15"/>
        <v>604</v>
      </c>
    </row>
    <row r="215" spans="1:24" x14ac:dyDescent="0.25">
      <c r="A215" t="s">
        <v>451</v>
      </c>
      <c r="B215" t="s">
        <v>452</v>
      </c>
      <c r="C215" t="s">
        <v>17</v>
      </c>
      <c r="D215" t="s">
        <v>62</v>
      </c>
      <c r="E215" s="1">
        <v>45175</v>
      </c>
      <c r="F215" t="s">
        <v>19</v>
      </c>
      <c r="G215">
        <v>9626</v>
      </c>
      <c r="H215">
        <v>5195</v>
      </c>
      <c r="I215">
        <v>3.38</v>
      </c>
      <c r="J215">
        <v>17</v>
      </c>
      <c r="M215" t="str">
        <f t="shared" ca="1" si="12"/>
        <v/>
      </c>
      <c r="N215" s="3" t="str" cm="1">
        <f t="array" ref="N215">_xlfn.IFS(I215&gt;=3.5,"Excellent",I215&gt;=3,"Good",I215&gt;=2,"Average",I215&lt;2,"Poor")</f>
        <v>Good</v>
      </c>
      <c r="P215" t="str">
        <f t="shared" si="13"/>
        <v>True</v>
      </c>
      <c r="Q215">
        <f t="shared" si="14"/>
        <v>701823</v>
      </c>
      <c r="R215">
        <v>2023</v>
      </c>
      <c r="X215">
        <f t="shared" ca="1" si="15"/>
        <v>674</v>
      </c>
    </row>
    <row r="216" spans="1:24" x14ac:dyDescent="0.25">
      <c r="A216" t="s">
        <v>453</v>
      </c>
      <c r="B216" t="s">
        <v>454</v>
      </c>
      <c r="C216" t="s">
        <v>12</v>
      </c>
      <c r="D216" t="s">
        <v>13</v>
      </c>
      <c r="E216" s="1">
        <v>45157</v>
      </c>
      <c r="F216" t="s">
        <v>14</v>
      </c>
      <c r="G216">
        <v>13924</v>
      </c>
      <c r="H216">
        <v>919</v>
      </c>
      <c r="I216">
        <v>2.89</v>
      </c>
      <c r="J216">
        <v>108</v>
      </c>
      <c r="M216">
        <f t="shared" ca="1" si="12"/>
        <v>692</v>
      </c>
      <c r="N216" s="3" t="str" cm="1">
        <f t="array" ref="N216">_xlfn.IFS(I216&gt;=3.5,"Excellent",I216&gt;=3,"Good",I216&gt;=2,"Average",I216&lt;2,"Poor")</f>
        <v>Average</v>
      </c>
      <c r="P216" t="str">
        <f t="shared" si="13"/>
        <v/>
      </c>
      <c r="Q216">
        <f t="shared" si="14"/>
        <v>701823</v>
      </c>
      <c r="R216">
        <v>2023</v>
      </c>
      <c r="X216" t="str">
        <f t="shared" ca="1" si="15"/>
        <v/>
      </c>
    </row>
    <row r="217" spans="1:24" x14ac:dyDescent="0.25">
      <c r="A217" t="s">
        <v>455</v>
      </c>
      <c r="B217" t="s">
        <v>456</v>
      </c>
      <c r="C217" t="s">
        <v>17</v>
      </c>
      <c r="D217" t="s">
        <v>62</v>
      </c>
      <c r="E217" s="1">
        <v>44802</v>
      </c>
      <c r="F217" t="s">
        <v>14</v>
      </c>
      <c r="G217">
        <v>11491</v>
      </c>
      <c r="H217">
        <v>8965</v>
      </c>
      <c r="I217">
        <v>2.95</v>
      </c>
      <c r="J217">
        <v>5</v>
      </c>
      <c r="M217">
        <f t="shared" ca="1" si="12"/>
        <v>1047</v>
      </c>
      <c r="N217" s="3" t="str" cm="1">
        <f t="array" ref="N217">_xlfn.IFS(I217&gt;=3.5,"Excellent",I217&gt;=3,"Good",I217&gt;=2,"Average",I217&lt;2,"Poor")</f>
        <v>Average</v>
      </c>
      <c r="P217" t="str">
        <f t="shared" si="13"/>
        <v>True</v>
      </c>
      <c r="Q217">
        <f t="shared" si="14"/>
        <v>701823</v>
      </c>
      <c r="R217">
        <v>2022</v>
      </c>
      <c r="X217" t="str">
        <f t="shared" ca="1" si="15"/>
        <v/>
      </c>
    </row>
    <row r="218" spans="1:24" x14ac:dyDescent="0.25">
      <c r="A218" t="s">
        <v>457</v>
      </c>
      <c r="B218" t="s">
        <v>458</v>
      </c>
      <c r="C218" t="s">
        <v>57</v>
      </c>
      <c r="D218" t="s">
        <v>18</v>
      </c>
      <c r="E218" s="1">
        <v>45388</v>
      </c>
      <c r="F218" t="s">
        <v>14</v>
      </c>
      <c r="G218">
        <v>3781</v>
      </c>
      <c r="H218">
        <v>4601</v>
      </c>
      <c r="I218">
        <v>3.36</v>
      </c>
      <c r="J218">
        <v>6</v>
      </c>
      <c r="M218">
        <f t="shared" ca="1" si="12"/>
        <v>461</v>
      </c>
      <c r="N218" s="3" t="str" cm="1">
        <f t="array" ref="N218">_xlfn.IFS(I218&gt;=3.5,"Excellent",I218&gt;=3,"Good",I218&gt;=2,"Average",I218&lt;2,"Poor")</f>
        <v>Good</v>
      </c>
      <c r="P218" t="str">
        <f t="shared" si="13"/>
        <v>True</v>
      </c>
      <c r="Q218">
        <f t="shared" si="14"/>
        <v>701823</v>
      </c>
      <c r="R218">
        <v>2024</v>
      </c>
      <c r="X218" t="str">
        <f t="shared" ca="1" si="15"/>
        <v/>
      </c>
    </row>
    <row r="219" spans="1:24" x14ac:dyDescent="0.25">
      <c r="A219" t="s">
        <v>459</v>
      </c>
      <c r="B219" t="s">
        <v>460</v>
      </c>
      <c r="C219" t="s">
        <v>17</v>
      </c>
      <c r="D219" t="s">
        <v>62</v>
      </c>
      <c r="E219" s="1">
        <v>45252</v>
      </c>
      <c r="F219" t="s">
        <v>19</v>
      </c>
      <c r="G219">
        <v>12986</v>
      </c>
      <c r="H219">
        <v>7952</v>
      </c>
      <c r="I219">
        <v>2.85</v>
      </c>
      <c r="J219">
        <v>90</v>
      </c>
      <c r="M219" t="str">
        <f t="shared" ca="1" si="12"/>
        <v/>
      </c>
      <c r="N219" s="3" t="str" cm="1">
        <f t="array" ref="N219">_xlfn.IFS(I219&gt;=3.5,"Excellent",I219&gt;=3,"Good",I219&gt;=2,"Average",I219&lt;2,"Poor")</f>
        <v>Average</v>
      </c>
      <c r="P219" t="str">
        <f t="shared" si="13"/>
        <v>True</v>
      </c>
      <c r="Q219">
        <f t="shared" si="14"/>
        <v>701823</v>
      </c>
      <c r="R219">
        <v>2023</v>
      </c>
      <c r="X219">
        <f t="shared" ca="1" si="15"/>
        <v>597</v>
      </c>
    </row>
    <row r="220" spans="1:24" x14ac:dyDescent="0.25">
      <c r="A220" t="s">
        <v>461</v>
      </c>
      <c r="B220" t="s">
        <v>462</v>
      </c>
      <c r="C220" t="s">
        <v>57</v>
      </c>
      <c r="D220" t="s">
        <v>13</v>
      </c>
      <c r="E220" s="1">
        <v>44719</v>
      </c>
      <c r="F220" t="s">
        <v>14</v>
      </c>
      <c r="G220">
        <v>5785</v>
      </c>
      <c r="H220">
        <v>8652</v>
      </c>
      <c r="I220">
        <v>3.75</v>
      </c>
      <c r="J220">
        <v>96</v>
      </c>
      <c r="M220">
        <f t="shared" ca="1" si="12"/>
        <v>1130</v>
      </c>
      <c r="N220" s="3" t="str" cm="1">
        <f t="array" ref="N220">_xlfn.IFS(I220&gt;=3.5,"Excellent",I220&gt;=3,"Good",I220&gt;=2,"Average",I220&lt;2,"Poor")</f>
        <v>Excellent</v>
      </c>
      <c r="P220" t="str">
        <f t="shared" si="13"/>
        <v>True</v>
      </c>
      <c r="Q220">
        <f t="shared" si="14"/>
        <v>701823</v>
      </c>
      <c r="R220">
        <v>2022</v>
      </c>
      <c r="X220" t="str">
        <f t="shared" ca="1" si="15"/>
        <v/>
      </c>
    </row>
    <row r="221" spans="1:24" x14ac:dyDescent="0.25">
      <c r="A221" t="s">
        <v>463</v>
      </c>
      <c r="B221" t="s">
        <v>464</v>
      </c>
      <c r="C221" t="s">
        <v>17</v>
      </c>
      <c r="D221" t="s">
        <v>62</v>
      </c>
      <c r="E221" s="1">
        <v>44924</v>
      </c>
      <c r="F221" t="s">
        <v>14</v>
      </c>
      <c r="G221">
        <v>6786</v>
      </c>
      <c r="H221">
        <v>6481</v>
      </c>
      <c r="I221">
        <v>2.57</v>
      </c>
      <c r="J221">
        <v>28</v>
      </c>
      <c r="M221">
        <f t="shared" ca="1" si="12"/>
        <v>925</v>
      </c>
      <c r="N221" s="3" t="str" cm="1">
        <f t="array" ref="N221">_xlfn.IFS(I221&gt;=3.5,"Excellent",I221&gt;=3,"Good",I221&gt;=2,"Average",I221&lt;2,"Poor")</f>
        <v>Average</v>
      </c>
      <c r="P221" t="str">
        <f t="shared" si="13"/>
        <v>True</v>
      </c>
      <c r="Q221">
        <f t="shared" si="14"/>
        <v>701823</v>
      </c>
      <c r="R221">
        <v>2022</v>
      </c>
      <c r="X221" t="str">
        <f t="shared" ca="1" si="15"/>
        <v/>
      </c>
    </row>
    <row r="222" spans="1:24" x14ac:dyDescent="0.25">
      <c r="A222" t="s">
        <v>465</v>
      </c>
      <c r="B222" t="s">
        <v>466</v>
      </c>
      <c r="C222" t="s">
        <v>28</v>
      </c>
      <c r="D222" t="s">
        <v>31</v>
      </c>
      <c r="E222" s="1">
        <v>44843</v>
      </c>
      <c r="F222" t="s">
        <v>14</v>
      </c>
      <c r="G222">
        <v>6615</v>
      </c>
      <c r="H222">
        <v>199</v>
      </c>
      <c r="I222">
        <v>2.04</v>
      </c>
      <c r="J222">
        <v>38</v>
      </c>
      <c r="M222">
        <f t="shared" ca="1" si="12"/>
        <v>1006</v>
      </c>
      <c r="N222" s="3" t="str" cm="1">
        <f t="array" ref="N222">_xlfn.IFS(I222&gt;=3.5,"Excellent",I222&gt;=3,"Good",I222&gt;=2,"Average",I222&lt;2,"Poor")</f>
        <v>Average</v>
      </c>
      <c r="P222" t="str">
        <f t="shared" si="13"/>
        <v/>
      </c>
      <c r="Q222">
        <f t="shared" si="14"/>
        <v>701823</v>
      </c>
      <c r="R222">
        <v>2022</v>
      </c>
      <c r="X222" t="str">
        <f t="shared" ca="1" si="15"/>
        <v/>
      </c>
    </row>
    <row r="223" spans="1:24" x14ac:dyDescent="0.25">
      <c r="A223" t="s">
        <v>467</v>
      </c>
      <c r="B223" t="s">
        <v>468</v>
      </c>
      <c r="C223" t="s">
        <v>54</v>
      </c>
      <c r="D223" t="s">
        <v>18</v>
      </c>
      <c r="E223" s="1">
        <v>45449</v>
      </c>
      <c r="F223" t="s">
        <v>14</v>
      </c>
      <c r="G223">
        <v>9625</v>
      </c>
      <c r="H223">
        <v>8374</v>
      </c>
      <c r="I223">
        <v>3.69</v>
      </c>
      <c r="J223">
        <v>6</v>
      </c>
      <c r="M223">
        <f t="shared" ca="1" si="12"/>
        <v>400</v>
      </c>
      <c r="N223" s="3" t="str" cm="1">
        <f t="array" ref="N223">_xlfn.IFS(I223&gt;=3.5,"Excellent",I223&gt;=3,"Good",I223&gt;=2,"Average",I223&lt;2,"Poor")</f>
        <v>Excellent</v>
      </c>
      <c r="P223" t="str">
        <f t="shared" si="13"/>
        <v>True</v>
      </c>
      <c r="Q223">
        <f t="shared" si="14"/>
        <v>701823</v>
      </c>
      <c r="R223">
        <v>2024</v>
      </c>
      <c r="X223" t="str">
        <f t="shared" ca="1" si="15"/>
        <v/>
      </c>
    </row>
    <row r="224" spans="1:24" x14ac:dyDescent="0.25">
      <c r="A224" t="s">
        <v>469</v>
      </c>
      <c r="B224" t="s">
        <v>470</v>
      </c>
      <c r="C224" t="s">
        <v>57</v>
      </c>
      <c r="D224" t="s">
        <v>62</v>
      </c>
      <c r="E224" s="1">
        <v>45192</v>
      </c>
      <c r="F224" t="s">
        <v>14</v>
      </c>
      <c r="G224">
        <v>13304</v>
      </c>
      <c r="H224">
        <v>6463</v>
      </c>
      <c r="I224">
        <v>3.24</v>
      </c>
      <c r="J224">
        <v>96</v>
      </c>
      <c r="M224">
        <f t="shared" ca="1" si="12"/>
        <v>657</v>
      </c>
      <c r="N224" s="3" t="str" cm="1">
        <f t="array" ref="N224">_xlfn.IFS(I224&gt;=3.5,"Excellent",I224&gt;=3,"Good",I224&gt;=2,"Average",I224&lt;2,"Poor")</f>
        <v>Good</v>
      </c>
      <c r="P224" t="str">
        <f t="shared" si="13"/>
        <v/>
      </c>
      <c r="Q224">
        <f t="shared" si="14"/>
        <v>701823</v>
      </c>
      <c r="R224">
        <v>2023</v>
      </c>
      <c r="X224" t="str">
        <f t="shared" ca="1" si="15"/>
        <v/>
      </c>
    </row>
    <row r="225" spans="1:24" x14ac:dyDescent="0.25">
      <c r="A225" t="s">
        <v>471</v>
      </c>
      <c r="B225" t="s">
        <v>472</v>
      </c>
      <c r="C225" t="s">
        <v>54</v>
      </c>
      <c r="D225" t="s">
        <v>13</v>
      </c>
      <c r="E225" s="1">
        <v>45116</v>
      </c>
      <c r="F225" t="s">
        <v>14</v>
      </c>
      <c r="G225">
        <v>4559</v>
      </c>
      <c r="H225">
        <v>385</v>
      </c>
      <c r="I225">
        <v>3.67</v>
      </c>
      <c r="J225">
        <v>105</v>
      </c>
      <c r="M225">
        <f t="shared" ca="1" si="12"/>
        <v>733</v>
      </c>
      <c r="N225" s="3" t="str" cm="1">
        <f t="array" ref="N225">_xlfn.IFS(I225&gt;=3.5,"Excellent",I225&gt;=3,"Good",I225&gt;=2,"Average",I225&lt;2,"Poor")</f>
        <v>Excellent</v>
      </c>
      <c r="P225" t="str">
        <f t="shared" si="13"/>
        <v/>
      </c>
      <c r="Q225">
        <f t="shared" si="14"/>
        <v>701823</v>
      </c>
      <c r="R225">
        <v>2023</v>
      </c>
      <c r="X225" t="str">
        <f t="shared" ca="1" si="15"/>
        <v/>
      </c>
    </row>
    <row r="226" spans="1:24" x14ac:dyDescent="0.25">
      <c r="A226" t="s">
        <v>473</v>
      </c>
      <c r="B226" t="s">
        <v>474</v>
      </c>
      <c r="C226" t="s">
        <v>57</v>
      </c>
      <c r="D226" t="s">
        <v>31</v>
      </c>
      <c r="E226" s="1">
        <v>44777</v>
      </c>
      <c r="F226" t="s">
        <v>14</v>
      </c>
      <c r="G226">
        <v>4418</v>
      </c>
      <c r="H226">
        <v>295</v>
      </c>
      <c r="I226">
        <v>2.12</v>
      </c>
      <c r="J226">
        <v>65</v>
      </c>
      <c r="M226">
        <f t="shared" ca="1" si="12"/>
        <v>1072</v>
      </c>
      <c r="N226" s="3" t="str" cm="1">
        <f t="array" ref="N226">_xlfn.IFS(I226&gt;=3.5,"Excellent",I226&gt;=3,"Good",I226&gt;=2,"Average",I226&lt;2,"Poor")</f>
        <v>Average</v>
      </c>
      <c r="P226" t="str">
        <f t="shared" si="13"/>
        <v/>
      </c>
      <c r="Q226">
        <f t="shared" si="14"/>
        <v>701823</v>
      </c>
      <c r="R226">
        <v>2022</v>
      </c>
      <c r="X226" t="str">
        <f t="shared" ca="1" si="15"/>
        <v/>
      </c>
    </row>
    <row r="227" spans="1:24" x14ac:dyDescent="0.25">
      <c r="A227" t="s">
        <v>475</v>
      </c>
      <c r="B227" t="s">
        <v>476</v>
      </c>
      <c r="C227" t="s">
        <v>28</v>
      </c>
      <c r="D227" t="s">
        <v>18</v>
      </c>
      <c r="E227" s="1">
        <v>44842</v>
      </c>
      <c r="F227" t="s">
        <v>14</v>
      </c>
      <c r="G227">
        <v>11433</v>
      </c>
      <c r="H227">
        <v>5463</v>
      </c>
      <c r="I227">
        <v>2.87</v>
      </c>
      <c r="J227">
        <v>55</v>
      </c>
      <c r="M227">
        <f t="shared" ca="1" si="12"/>
        <v>1007</v>
      </c>
      <c r="N227" s="3" t="str" cm="1">
        <f t="array" ref="N227">_xlfn.IFS(I227&gt;=3.5,"Excellent",I227&gt;=3,"Good",I227&gt;=2,"Average",I227&lt;2,"Poor")</f>
        <v>Average</v>
      </c>
      <c r="P227" t="str">
        <f t="shared" si="13"/>
        <v/>
      </c>
      <c r="Q227">
        <f t="shared" si="14"/>
        <v>701823</v>
      </c>
      <c r="R227">
        <v>2022</v>
      </c>
      <c r="X227" t="str">
        <f t="shared" ca="1" si="15"/>
        <v/>
      </c>
    </row>
    <row r="228" spans="1:24" x14ac:dyDescent="0.25">
      <c r="A228" t="s">
        <v>477</v>
      </c>
      <c r="B228" t="s">
        <v>478</v>
      </c>
      <c r="C228" t="s">
        <v>28</v>
      </c>
      <c r="D228" t="s">
        <v>62</v>
      </c>
      <c r="E228" s="1">
        <v>45149</v>
      </c>
      <c r="F228" t="s">
        <v>14</v>
      </c>
      <c r="G228">
        <v>10920</v>
      </c>
      <c r="H228">
        <v>1855</v>
      </c>
      <c r="I228">
        <v>2.5299999999999998</v>
      </c>
      <c r="J228">
        <v>35</v>
      </c>
      <c r="M228">
        <f t="shared" ca="1" si="12"/>
        <v>700</v>
      </c>
      <c r="N228" s="3" t="str" cm="1">
        <f t="array" ref="N228">_xlfn.IFS(I228&gt;=3.5,"Excellent",I228&gt;=3,"Good",I228&gt;=2,"Average",I228&lt;2,"Poor")</f>
        <v>Average</v>
      </c>
      <c r="P228" t="str">
        <f t="shared" si="13"/>
        <v/>
      </c>
      <c r="Q228">
        <f t="shared" si="14"/>
        <v>701823</v>
      </c>
      <c r="R228">
        <v>2023</v>
      </c>
      <c r="X228" t="str">
        <f t="shared" ca="1" si="15"/>
        <v/>
      </c>
    </row>
    <row r="229" spans="1:24" x14ac:dyDescent="0.25">
      <c r="A229" t="s">
        <v>479</v>
      </c>
      <c r="B229" t="s">
        <v>480</v>
      </c>
      <c r="C229" t="s">
        <v>36</v>
      </c>
      <c r="D229" t="s">
        <v>13</v>
      </c>
      <c r="E229" s="1">
        <v>44644</v>
      </c>
      <c r="F229" t="s">
        <v>19</v>
      </c>
      <c r="G229">
        <v>7532</v>
      </c>
      <c r="H229">
        <v>5770</v>
      </c>
      <c r="I229">
        <v>2.84</v>
      </c>
      <c r="J229">
        <v>53</v>
      </c>
      <c r="M229" t="str">
        <f t="shared" ca="1" si="12"/>
        <v/>
      </c>
      <c r="N229" s="3" t="str" cm="1">
        <f t="array" ref="N229">_xlfn.IFS(I229&gt;=3.5,"Excellent",I229&gt;=3,"Good",I229&gt;=2,"Average",I229&lt;2,"Poor")</f>
        <v>Average</v>
      </c>
      <c r="P229" t="str">
        <f t="shared" si="13"/>
        <v>True</v>
      </c>
      <c r="Q229">
        <f t="shared" si="14"/>
        <v>701823</v>
      </c>
      <c r="R229">
        <v>2022</v>
      </c>
      <c r="X229">
        <f t="shared" ca="1" si="15"/>
        <v>1205</v>
      </c>
    </row>
    <row r="230" spans="1:24" x14ac:dyDescent="0.25">
      <c r="A230" t="s">
        <v>481</v>
      </c>
      <c r="B230" t="s">
        <v>482</v>
      </c>
      <c r="C230" t="s">
        <v>28</v>
      </c>
      <c r="D230" t="s">
        <v>62</v>
      </c>
      <c r="E230" s="1">
        <v>45226</v>
      </c>
      <c r="F230" t="s">
        <v>14</v>
      </c>
      <c r="G230">
        <v>4365</v>
      </c>
      <c r="H230">
        <v>9361</v>
      </c>
      <c r="I230">
        <v>3.09</v>
      </c>
      <c r="J230">
        <v>24</v>
      </c>
      <c r="M230">
        <f t="shared" ca="1" si="12"/>
        <v>623</v>
      </c>
      <c r="N230" s="3" t="str" cm="1">
        <f t="array" ref="N230">_xlfn.IFS(I230&gt;=3.5,"Excellent",I230&gt;=3,"Good",I230&gt;=2,"Average",I230&lt;2,"Poor")</f>
        <v>Good</v>
      </c>
      <c r="P230" t="str">
        <f t="shared" si="13"/>
        <v>True</v>
      </c>
      <c r="Q230">
        <f t="shared" si="14"/>
        <v>701823</v>
      </c>
      <c r="R230">
        <v>2023</v>
      </c>
      <c r="X230" t="str">
        <f t="shared" ca="1" si="15"/>
        <v/>
      </c>
    </row>
    <row r="231" spans="1:24" x14ac:dyDescent="0.25">
      <c r="A231" t="s">
        <v>483</v>
      </c>
      <c r="B231" t="s">
        <v>484</v>
      </c>
      <c r="C231" t="s">
        <v>54</v>
      </c>
      <c r="D231" t="s">
        <v>13</v>
      </c>
      <c r="E231" s="1">
        <v>44568</v>
      </c>
      <c r="F231" t="s">
        <v>19</v>
      </c>
      <c r="G231">
        <v>8437</v>
      </c>
      <c r="H231">
        <v>5207</v>
      </c>
      <c r="I231">
        <v>2.61</v>
      </c>
      <c r="J231">
        <v>78</v>
      </c>
      <c r="M231" t="str">
        <f t="shared" ca="1" si="12"/>
        <v/>
      </c>
      <c r="N231" s="3" t="str" cm="1">
        <f t="array" ref="N231">_xlfn.IFS(I231&gt;=3.5,"Excellent",I231&gt;=3,"Good",I231&gt;=2,"Average",I231&lt;2,"Poor")</f>
        <v>Average</v>
      </c>
      <c r="P231" t="str">
        <f t="shared" si="13"/>
        <v>True</v>
      </c>
      <c r="Q231">
        <f t="shared" si="14"/>
        <v>701823</v>
      </c>
      <c r="R231">
        <v>2022</v>
      </c>
      <c r="X231">
        <f t="shared" ca="1" si="15"/>
        <v>1281</v>
      </c>
    </row>
    <row r="232" spans="1:24" x14ac:dyDescent="0.25">
      <c r="A232" t="s">
        <v>485</v>
      </c>
      <c r="B232" t="s">
        <v>486</v>
      </c>
      <c r="C232" t="s">
        <v>54</v>
      </c>
      <c r="D232" t="s">
        <v>62</v>
      </c>
      <c r="E232" s="1">
        <v>44985</v>
      </c>
      <c r="F232" t="s">
        <v>14</v>
      </c>
      <c r="G232">
        <v>8696</v>
      </c>
      <c r="H232">
        <v>684</v>
      </c>
      <c r="I232">
        <v>2.88</v>
      </c>
      <c r="J232">
        <v>83</v>
      </c>
      <c r="M232">
        <f t="shared" ca="1" si="12"/>
        <v>864</v>
      </c>
      <c r="N232" s="3" t="str" cm="1">
        <f t="array" ref="N232">_xlfn.IFS(I232&gt;=3.5,"Excellent",I232&gt;=3,"Good",I232&gt;=2,"Average",I232&lt;2,"Poor")</f>
        <v>Average</v>
      </c>
      <c r="P232" t="str">
        <f t="shared" si="13"/>
        <v/>
      </c>
      <c r="Q232">
        <f t="shared" si="14"/>
        <v>701823</v>
      </c>
      <c r="R232">
        <v>2023</v>
      </c>
      <c r="X232" t="str">
        <f t="shared" ca="1" si="15"/>
        <v/>
      </c>
    </row>
    <row r="233" spans="1:24" x14ac:dyDescent="0.25">
      <c r="A233" t="s">
        <v>487</v>
      </c>
      <c r="B233" t="s">
        <v>488</v>
      </c>
      <c r="C233" t="s">
        <v>22</v>
      </c>
      <c r="D233" t="s">
        <v>62</v>
      </c>
      <c r="E233" s="1">
        <v>44682</v>
      </c>
      <c r="F233" t="s">
        <v>19</v>
      </c>
      <c r="G233">
        <v>11639</v>
      </c>
      <c r="H233">
        <v>4226</v>
      </c>
      <c r="I233">
        <v>3.24</v>
      </c>
      <c r="J233">
        <v>43</v>
      </c>
      <c r="M233" t="str">
        <f t="shared" ca="1" si="12"/>
        <v/>
      </c>
      <c r="N233" s="3" t="str" cm="1">
        <f t="array" ref="N233">_xlfn.IFS(I233&gt;=3.5,"Excellent",I233&gt;=3,"Good",I233&gt;=2,"Average",I233&lt;2,"Poor")</f>
        <v>Good</v>
      </c>
      <c r="P233" t="str">
        <f t="shared" si="13"/>
        <v/>
      </c>
      <c r="Q233">
        <f t="shared" si="14"/>
        <v>701823</v>
      </c>
      <c r="R233">
        <v>2022</v>
      </c>
      <c r="X233">
        <f t="shared" ca="1" si="15"/>
        <v>1167</v>
      </c>
    </row>
    <row r="234" spans="1:24" x14ac:dyDescent="0.25">
      <c r="A234" t="s">
        <v>489</v>
      </c>
      <c r="B234" t="s">
        <v>490</v>
      </c>
      <c r="C234" t="s">
        <v>28</v>
      </c>
      <c r="D234" t="s">
        <v>18</v>
      </c>
      <c r="E234" s="1">
        <v>45280</v>
      </c>
      <c r="F234" t="s">
        <v>19</v>
      </c>
      <c r="G234">
        <v>14104</v>
      </c>
      <c r="H234">
        <v>7961</v>
      </c>
      <c r="I234">
        <v>3.12</v>
      </c>
      <c r="J234">
        <v>119</v>
      </c>
      <c r="M234" t="str">
        <f t="shared" ca="1" si="12"/>
        <v/>
      </c>
      <c r="N234" s="3" t="str" cm="1">
        <f t="array" ref="N234">_xlfn.IFS(I234&gt;=3.5,"Excellent",I234&gt;=3,"Good",I234&gt;=2,"Average",I234&lt;2,"Poor")</f>
        <v>Good</v>
      </c>
      <c r="P234" t="str">
        <f t="shared" si="13"/>
        <v>True</v>
      </c>
      <c r="Q234">
        <f t="shared" si="14"/>
        <v>701823</v>
      </c>
      <c r="R234">
        <v>2023</v>
      </c>
      <c r="X234">
        <f t="shared" ca="1" si="15"/>
        <v>569</v>
      </c>
    </row>
    <row r="235" spans="1:24" x14ac:dyDescent="0.25">
      <c r="A235" t="s">
        <v>491</v>
      </c>
      <c r="B235" t="s">
        <v>492</v>
      </c>
      <c r="C235" t="s">
        <v>25</v>
      </c>
      <c r="D235" t="s">
        <v>18</v>
      </c>
      <c r="E235" s="1">
        <v>45181</v>
      </c>
      <c r="F235" t="s">
        <v>39</v>
      </c>
      <c r="G235">
        <v>8577</v>
      </c>
      <c r="H235">
        <v>1188</v>
      </c>
      <c r="I235">
        <v>2.21</v>
      </c>
      <c r="J235">
        <v>47</v>
      </c>
      <c r="M235" t="str">
        <f t="shared" ca="1" si="12"/>
        <v/>
      </c>
      <c r="N235" s="3" t="str" cm="1">
        <f t="array" ref="N235">_xlfn.IFS(I235&gt;=3.5,"Excellent",I235&gt;=3,"Good",I235&gt;=2,"Average",I235&lt;2,"Poor")</f>
        <v>Average</v>
      </c>
      <c r="P235" t="str">
        <f t="shared" si="13"/>
        <v/>
      </c>
      <c r="Q235">
        <f t="shared" si="14"/>
        <v>687719</v>
      </c>
      <c r="R235">
        <v>2023</v>
      </c>
      <c r="X235" t="str">
        <f t="shared" ca="1" si="15"/>
        <v/>
      </c>
    </row>
    <row r="236" spans="1:24" x14ac:dyDescent="0.25">
      <c r="A236" t="s">
        <v>493</v>
      </c>
      <c r="B236" t="s">
        <v>494</v>
      </c>
      <c r="C236" t="s">
        <v>25</v>
      </c>
      <c r="D236" t="s">
        <v>13</v>
      </c>
      <c r="E236" s="1">
        <v>44955</v>
      </c>
      <c r="F236" t="s">
        <v>19</v>
      </c>
      <c r="G236">
        <v>9465</v>
      </c>
      <c r="H236">
        <v>4415</v>
      </c>
      <c r="I236">
        <v>2.44</v>
      </c>
      <c r="J236">
        <v>62</v>
      </c>
      <c r="M236" t="str">
        <f t="shared" ca="1" si="12"/>
        <v/>
      </c>
      <c r="N236" s="3" t="str" cm="1">
        <f t="array" ref="N236">_xlfn.IFS(I236&gt;=3.5,"Excellent",I236&gt;=3,"Good",I236&gt;=2,"Average",I236&lt;2,"Poor")</f>
        <v>Average</v>
      </c>
      <c r="P236" t="str">
        <f t="shared" si="13"/>
        <v/>
      </c>
      <c r="Q236">
        <f t="shared" si="14"/>
        <v>687719</v>
      </c>
      <c r="R236">
        <v>2023</v>
      </c>
      <c r="X236">
        <f t="shared" ca="1" si="15"/>
        <v>894</v>
      </c>
    </row>
    <row r="237" spans="1:24" x14ac:dyDescent="0.25">
      <c r="A237" t="s">
        <v>495</v>
      </c>
      <c r="B237" t="s">
        <v>496</v>
      </c>
      <c r="C237" t="s">
        <v>57</v>
      </c>
      <c r="D237" t="s">
        <v>13</v>
      </c>
      <c r="E237" s="1">
        <v>44736</v>
      </c>
      <c r="F237" t="s">
        <v>14</v>
      </c>
      <c r="G237">
        <v>11825</v>
      </c>
      <c r="H237">
        <v>1060</v>
      </c>
      <c r="I237">
        <v>2.14</v>
      </c>
      <c r="J237">
        <v>90</v>
      </c>
      <c r="M237">
        <f t="shared" ca="1" si="12"/>
        <v>1113</v>
      </c>
      <c r="N237" s="3" t="str" cm="1">
        <f t="array" ref="N237">_xlfn.IFS(I237&gt;=3.5,"Excellent",I237&gt;=3,"Good",I237&gt;=2,"Average",I237&lt;2,"Poor")</f>
        <v>Average</v>
      </c>
      <c r="P237" t="str">
        <f t="shared" si="13"/>
        <v/>
      </c>
      <c r="Q237">
        <f t="shared" si="14"/>
        <v>687719</v>
      </c>
      <c r="R237">
        <v>2022</v>
      </c>
      <c r="X237" t="str">
        <f t="shared" ca="1" si="15"/>
        <v/>
      </c>
    </row>
    <row r="238" spans="1:24" x14ac:dyDescent="0.25">
      <c r="A238" t="s">
        <v>497</v>
      </c>
      <c r="B238" t="s">
        <v>498</v>
      </c>
      <c r="C238" t="s">
        <v>57</v>
      </c>
      <c r="D238" t="s">
        <v>62</v>
      </c>
      <c r="E238" s="1">
        <v>45268</v>
      </c>
      <c r="F238" t="s">
        <v>14</v>
      </c>
      <c r="G238">
        <v>12026</v>
      </c>
      <c r="H238">
        <v>5856</v>
      </c>
      <c r="I238">
        <v>3.64</v>
      </c>
      <c r="J238">
        <v>15</v>
      </c>
      <c r="M238">
        <f t="shared" ca="1" si="12"/>
        <v>581</v>
      </c>
      <c r="N238" s="3" t="str" cm="1">
        <f t="array" ref="N238">_xlfn.IFS(I238&gt;=3.5,"Excellent",I238&gt;=3,"Good",I238&gt;=2,"Average",I238&lt;2,"Poor")</f>
        <v>Excellent</v>
      </c>
      <c r="P238" t="str">
        <f t="shared" si="13"/>
        <v/>
      </c>
      <c r="Q238">
        <f t="shared" si="14"/>
        <v>687719</v>
      </c>
      <c r="R238">
        <v>2023</v>
      </c>
      <c r="X238" t="str">
        <f t="shared" ca="1" si="15"/>
        <v/>
      </c>
    </row>
    <row r="239" spans="1:24" x14ac:dyDescent="0.25">
      <c r="A239" t="s">
        <v>499</v>
      </c>
      <c r="B239" t="s">
        <v>500</v>
      </c>
      <c r="C239" t="s">
        <v>36</v>
      </c>
      <c r="D239" t="s">
        <v>13</v>
      </c>
      <c r="E239" s="1">
        <v>45055</v>
      </c>
      <c r="F239" t="s">
        <v>14</v>
      </c>
      <c r="G239">
        <v>12137</v>
      </c>
      <c r="H239">
        <v>8974</v>
      </c>
      <c r="I239">
        <v>3.33</v>
      </c>
      <c r="J239">
        <v>59</v>
      </c>
      <c r="M239">
        <f t="shared" ca="1" si="12"/>
        <v>794</v>
      </c>
      <c r="N239" s="3" t="str" cm="1">
        <f t="array" ref="N239">_xlfn.IFS(I239&gt;=3.5,"Excellent",I239&gt;=3,"Good",I239&gt;=2,"Average",I239&lt;2,"Poor")</f>
        <v>Good</v>
      </c>
      <c r="P239" t="str">
        <f t="shared" si="13"/>
        <v>True</v>
      </c>
      <c r="Q239">
        <f t="shared" si="14"/>
        <v>687719</v>
      </c>
      <c r="R239">
        <v>2023</v>
      </c>
      <c r="X239" t="str">
        <f t="shared" ca="1" si="15"/>
        <v/>
      </c>
    </row>
    <row r="240" spans="1:24" x14ac:dyDescent="0.25">
      <c r="A240" t="s">
        <v>501</v>
      </c>
      <c r="B240" t="s">
        <v>502</v>
      </c>
      <c r="C240" t="s">
        <v>54</v>
      </c>
      <c r="D240" t="s">
        <v>18</v>
      </c>
      <c r="E240" s="1">
        <v>45316</v>
      </c>
      <c r="F240" t="s">
        <v>14</v>
      </c>
      <c r="G240">
        <v>13153</v>
      </c>
      <c r="H240">
        <v>7899</v>
      </c>
      <c r="I240">
        <v>3.35</v>
      </c>
      <c r="J240">
        <v>4</v>
      </c>
      <c r="M240">
        <f t="shared" ca="1" si="12"/>
        <v>533</v>
      </c>
      <c r="N240" s="3" t="str" cm="1">
        <f t="array" ref="N240">_xlfn.IFS(I240&gt;=3.5,"Excellent",I240&gt;=3,"Good",I240&gt;=2,"Average",I240&lt;2,"Poor")</f>
        <v>Good</v>
      </c>
      <c r="P240" t="str">
        <f t="shared" si="13"/>
        <v>True</v>
      </c>
      <c r="Q240">
        <f t="shared" si="14"/>
        <v>687719</v>
      </c>
      <c r="R240">
        <v>2024</v>
      </c>
      <c r="X240" t="str">
        <f t="shared" ca="1" si="15"/>
        <v/>
      </c>
    </row>
    <row r="241" spans="1:24" x14ac:dyDescent="0.25">
      <c r="A241" t="s">
        <v>503</v>
      </c>
      <c r="B241" t="s">
        <v>504</v>
      </c>
      <c r="C241" t="s">
        <v>54</v>
      </c>
      <c r="D241" t="s">
        <v>31</v>
      </c>
      <c r="E241" s="1">
        <v>45377</v>
      </c>
      <c r="F241" t="s">
        <v>14</v>
      </c>
      <c r="G241">
        <v>8445</v>
      </c>
      <c r="H241">
        <v>5645</v>
      </c>
      <c r="I241">
        <v>2.66</v>
      </c>
      <c r="J241">
        <v>106</v>
      </c>
      <c r="M241">
        <f t="shared" ca="1" si="12"/>
        <v>472</v>
      </c>
      <c r="N241" s="3" t="str" cm="1">
        <f t="array" ref="N241">_xlfn.IFS(I241&gt;=3.5,"Excellent",I241&gt;=3,"Good",I241&gt;=2,"Average",I241&lt;2,"Poor")</f>
        <v>Average</v>
      </c>
      <c r="P241" t="str">
        <f t="shared" si="13"/>
        <v>True</v>
      </c>
      <c r="Q241">
        <f t="shared" si="14"/>
        <v>687719</v>
      </c>
      <c r="R241">
        <v>2024</v>
      </c>
      <c r="X241" t="str">
        <f t="shared" ca="1" si="15"/>
        <v/>
      </c>
    </row>
    <row r="242" spans="1:24" x14ac:dyDescent="0.25">
      <c r="A242" t="s">
        <v>505</v>
      </c>
      <c r="B242" t="s">
        <v>506</v>
      </c>
      <c r="C242" t="s">
        <v>25</v>
      </c>
      <c r="D242" t="s">
        <v>62</v>
      </c>
      <c r="E242" s="1">
        <v>44847</v>
      </c>
      <c r="F242" t="s">
        <v>19</v>
      </c>
      <c r="G242">
        <v>6582</v>
      </c>
      <c r="H242">
        <v>7383</v>
      </c>
      <c r="I242">
        <v>2.9</v>
      </c>
      <c r="J242">
        <v>68</v>
      </c>
      <c r="M242" t="str">
        <f t="shared" ca="1" si="12"/>
        <v/>
      </c>
      <c r="N242" s="3" t="str" cm="1">
        <f t="array" ref="N242">_xlfn.IFS(I242&gt;=3.5,"Excellent",I242&gt;=3,"Good",I242&gt;=2,"Average",I242&lt;2,"Poor")</f>
        <v>Average</v>
      </c>
      <c r="P242" t="str">
        <f t="shared" si="13"/>
        <v>True</v>
      </c>
      <c r="Q242">
        <f t="shared" si="14"/>
        <v>687719</v>
      </c>
      <c r="R242">
        <v>2022</v>
      </c>
      <c r="X242">
        <f t="shared" ca="1" si="15"/>
        <v>1002</v>
      </c>
    </row>
    <row r="243" spans="1:24" x14ac:dyDescent="0.25">
      <c r="A243" t="s">
        <v>507</v>
      </c>
      <c r="B243" t="s">
        <v>508</v>
      </c>
      <c r="C243" t="s">
        <v>36</v>
      </c>
      <c r="D243" t="s">
        <v>62</v>
      </c>
      <c r="E243" s="1">
        <v>45026</v>
      </c>
      <c r="F243" t="s">
        <v>19</v>
      </c>
      <c r="G243">
        <v>9924</v>
      </c>
      <c r="H243">
        <v>4822</v>
      </c>
      <c r="I243">
        <v>2.79</v>
      </c>
      <c r="J243">
        <v>25</v>
      </c>
      <c r="M243" t="str">
        <f t="shared" ca="1" si="12"/>
        <v/>
      </c>
      <c r="N243" s="3" t="str" cm="1">
        <f t="array" ref="N243">_xlfn.IFS(I243&gt;=3.5,"Excellent",I243&gt;=3,"Good",I243&gt;=2,"Average",I243&lt;2,"Poor")</f>
        <v>Average</v>
      </c>
      <c r="P243" t="str">
        <f t="shared" si="13"/>
        <v/>
      </c>
      <c r="Q243">
        <f t="shared" si="14"/>
        <v>687719</v>
      </c>
      <c r="R243">
        <v>2023</v>
      </c>
      <c r="X243">
        <f t="shared" ca="1" si="15"/>
        <v>823</v>
      </c>
    </row>
    <row r="244" spans="1:24" x14ac:dyDescent="0.25">
      <c r="A244" t="s">
        <v>509</v>
      </c>
      <c r="B244" t="s">
        <v>510</v>
      </c>
      <c r="C244" t="s">
        <v>36</v>
      </c>
      <c r="D244" t="s">
        <v>13</v>
      </c>
      <c r="E244" s="1">
        <v>45292</v>
      </c>
      <c r="F244" t="s">
        <v>19</v>
      </c>
      <c r="G244">
        <v>9436</v>
      </c>
      <c r="H244">
        <v>3767</v>
      </c>
      <c r="I244">
        <v>2.27</v>
      </c>
      <c r="J244">
        <v>69</v>
      </c>
      <c r="M244" t="str">
        <f t="shared" ca="1" si="12"/>
        <v/>
      </c>
      <c r="N244" s="3" t="str" cm="1">
        <f t="array" ref="N244">_xlfn.IFS(I244&gt;=3.5,"Excellent",I244&gt;=3,"Good",I244&gt;=2,"Average",I244&lt;2,"Poor")</f>
        <v>Average</v>
      </c>
      <c r="P244" t="str">
        <f t="shared" si="13"/>
        <v/>
      </c>
      <c r="Q244">
        <f t="shared" si="14"/>
        <v>687719</v>
      </c>
      <c r="R244">
        <v>2024</v>
      </c>
      <c r="X244">
        <f t="shared" ca="1" si="15"/>
        <v>557</v>
      </c>
    </row>
    <row r="245" spans="1:24" x14ac:dyDescent="0.25">
      <c r="A245" t="s">
        <v>511</v>
      </c>
      <c r="B245" t="s">
        <v>512</v>
      </c>
      <c r="C245" t="s">
        <v>28</v>
      </c>
      <c r="D245" t="s">
        <v>31</v>
      </c>
      <c r="E245" s="1">
        <v>44982</v>
      </c>
      <c r="F245" t="s">
        <v>14</v>
      </c>
      <c r="G245">
        <v>11021</v>
      </c>
      <c r="H245">
        <v>1197</v>
      </c>
      <c r="I245">
        <v>2.08</v>
      </c>
      <c r="J245">
        <v>13</v>
      </c>
      <c r="M245">
        <f t="shared" ca="1" si="12"/>
        <v>867</v>
      </c>
      <c r="N245" s="3" t="str" cm="1">
        <f t="array" ref="N245">_xlfn.IFS(I245&gt;=3.5,"Excellent",I245&gt;=3,"Good",I245&gt;=2,"Average",I245&lt;2,"Poor")</f>
        <v>Average</v>
      </c>
      <c r="P245" t="str">
        <f t="shared" si="13"/>
        <v/>
      </c>
      <c r="Q245">
        <f t="shared" si="14"/>
        <v>687719</v>
      </c>
      <c r="R245">
        <v>2023</v>
      </c>
      <c r="X245" t="str">
        <f t="shared" ca="1" si="15"/>
        <v/>
      </c>
    </row>
    <row r="246" spans="1:24" x14ac:dyDescent="0.25">
      <c r="A246" t="s">
        <v>513</v>
      </c>
      <c r="B246" t="s">
        <v>514</v>
      </c>
      <c r="C246" t="s">
        <v>17</v>
      </c>
      <c r="D246" t="s">
        <v>62</v>
      </c>
      <c r="E246" s="1">
        <v>45147</v>
      </c>
      <c r="F246" t="s">
        <v>39</v>
      </c>
      <c r="G246">
        <v>5204</v>
      </c>
      <c r="H246">
        <v>3851</v>
      </c>
      <c r="I246">
        <v>2.2799999999999998</v>
      </c>
      <c r="J246">
        <v>29</v>
      </c>
      <c r="M246" t="str">
        <f t="shared" ca="1" si="12"/>
        <v/>
      </c>
      <c r="N246" s="3" t="str" cm="1">
        <f t="array" ref="N246">_xlfn.IFS(I246&gt;=3.5,"Excellent",I246&gt;=3,"Good",I246&gt;=2,"Average",I246&lt;2,"Poor")</f>
        <v>Average</v>
      </c>
      <c r="P246" t="str">
        <f t="shared" si="13"/>
        <v>True</v>
      </c>
      <c r="Q246">
        <f t="shared" si="14"/>
        <v>687719</v>
      </c>
      <c r="R246">
        <v>2023</v>
      </c>
      <c r="X246" t="str">
        <f t="shared" ca="1" si="15"/>
        <v/>
      </c>
    </row>
    <row r="247" spans="1:24" x14ac:dyDescent="0.25">
      <c r="A247" t="s">
        <v>515</v>
      </c>
      <c r="B247" t="s">
        <v>516</v>
      </c>
      <c r="C247" t="s">
        <v>17</v>
      </c>
      <c r="D247" t="s">
        <v>62</v>
      </c>
      <c r="E247" s="1">
        <v>45423</v>
      </c>
      <c r="F247" t="s">
        <v>14</v>
      </c>
      <c r="G247">
        <v>2031</v>
      </c>
      <c r="H247">
        <v>9223</v>
      </c>
      <c r="I247">
        <v>2.78</v>
      </c>
      <c r="J247">
        <v>49</v>
      </c>
      <c r="M247">
        <f t="shared" ca="1" si="12"/>
        <v>426</v>
      </c>
      <c r="N247" s="3" t="str" cm="1">
        <f t="array" ref="N247">_xlfn.IFS(I247&gt;=3.5,"Excellent",I247&gt;=3,"Good",I247&gt;=2,"Average",I247&lt;2,"Poor")</f>
        <v>Average</v>
      </c>
      <c r="P247" t="str">
        <f t="shared" si="13"/>
        <v>True</v>
      </c>
      <c r="Q247">
        <f t="shared" si="14"/>
        <v>687719</v>
      </c>
      <c r="R247">
        <v>2024</v>
      </c>
      <c r="X247" t="str">
        <f t="shared" ca="1" si="15"/>
        <v/>
      </c>
    </row>
    <row r="248" spans="1:24" x14ac:dyDescent="0.25">
      <c r="A248" t="s">
        <v>517</v>
      </c>
      <c r="B248" t="s">
        <v>518</v>
      </c>
      <c r="C248" t="s">
        <v>36</v>
      </c>
      <c r="D248" t="s">
        <v>62</v>
      </c>
      <c r="E248" s="1">
        <v>45334</v>
      </c>
      <c r="F248" t="s">
        <v>14</v>
      </c>
      <c r="G248">
        <v>9136</v>
      </c>
      <c r="H248">
        <v>9130</v>
      </c>
      <c r="I248">
        <v>2.15</v>
      </c>
      <c r="J248">
        <v>53</v>
      </c>
      <c r="M248">
        <f t="shared" ca="1" si="12"/>
        <v>515</v>
      </c>
      <c r="N248" s="3" t="str" cm="1">
        <f t="array" ref="N248">_xlfn.IFS(I248&gt;=3.5,"Excellent",I248&gt;=3,"Good",I248&gt;=2,"Average",I248&lt;2,"Poor")</f>
        <v>Average</v>
      </c>
      <c r="P248" t="str">
        <f t="shared" si="13"/>
        <v>True</v>
      </c>
      <c r="Q248">
        <f t="shared" si="14"/>
        <v>687719</v>
      </c>
      <c r="R248">
        <v>2024</v>
      </c>
      <c r="X248" t="str">
        <f t="shared" ca="1" si="15"/>
        <v/>
      </c>
    </row>
    <row r="249" spans="1:24" x14ac:dyDescent="0.25">
      <c r="A249" t="s">
        <v>519</v>
      </c>
      <c r="B249" t="s">
        <v>520</v>
      </c>
      <c r="C249" t="s">
        <v>28</v>
      </c>
      <c r="D249" t="s">
        <v>62</v>
      </c>
      <c r="E249" s="1">
        <v>44894</v>
      </c>
      <c r="F249" t="s">
        <v>14</v>
      </c>
      <c r="G249">
        <v>7624</v>
      </c>
      <c r="H249">
        <v>2182</v>
      </c>
      <c r="I249">
        <v>2.35</v>
      </c>
      <c r="J249">
        <v>21</v>
      </c>
      <c r="M249">
        <f t="shared" ca="1" si="12"/>
        <v>955</v>
      </c>
      <c r="N249" s="3" t="str" cm="1">
        <f t="array" ref="N249">_xlfn.IFS(I249&gt;=3.5,"Excellent",I249&gt;=3,"Good",I249&gt;=2,"Average",I249&lt;2,"Poor")</f>
        <v>Average</v>
      </c>
      <c r="P249" t="str">
        <f t="shared" si="13"/>
        <v/>
      </c>
      <c r="Q249">
        <f t="shared" si="14"/>
        <v>687719</v>
      </c>
      <c r="R249">
        <v>2022</v>
      </c>
      <c r="X249" t="str">
        <f t="shared" ca="1" si="15"/>
        <v/>
      </c>
    </row>
    <row r="250" spans="1:24" x14ac:dyDescent="0.25">
      <c r="A250" t="s">
        <v>521</v>
      </c>
      <c r="B250" t="s">
        <v>522</v>
      </c>
      <c r="C250" t="s">
        <v>54</v>
      </c>
      <c r="D250" t="s">
        <v>18</v>
      </c>
      <c r="E250" s="1">
        <v>45137</v>
      </c>
      <c r="F250" t="s">
        <v>14</v>
      </c>
      <c r="G250">
        <v>14896</v>
      </c>
      <c r="H250">
        <v>7193</v>
      </c>
      <c r="I250">
        <v>2.99</v>
      </c>
      <c r="J250">
        <v>19</v>
      </c>
      <c r="M250">
        <f t="shared" ca="1" si="12"/>
        <v>712</v>
      </c>
      <c r="N250" s="3" t="str" cm="1">
        <f t="array" ref="N250">_xlfn.IFS(I250&gt;=3.5,"Excellent",I250&gt;=3,"Good",I250&gt;=2,"Average",I250&lt;2,"Poor")</f>
        <v>Average</v>
      </c>
      <c r="P250" t="str">
        <f t="shared" si="13"/>
        <v/>
      </c>
      <c r="Q250">
        <f t="shared" si="14"/>
        <v>687719</v>
      </c>
      <c r="R250">
        <v>2023</v>
      </c>
      <c r="X250" t="str">
        <f t="shared" ca="1" si="15"/>
        <v/>
      </c>
    </row>
    <row r="251" spans="1:24" x14ac:dyDescent="0.25">
      <c r="A251" t="s">
        <v>523</v>
      </c>
      <c r="B251" t="s">
        <v>524</v>
      </c>
      <c r="C251" t="s">
        <v>22</v>
      </c>
      <c r="D251" t="s">
        <v>18</v>
      </c>
      <c r="E251" s="1">
        <v>44942</v>
      </c>
      <c r="F251" t="s">
        <v>14</v>
      </c>
      <c r="G251">
        <v>9944</v>
      </c>
      <c r="H251">
        <v>1801</v>
      </c>
      <c r="I251">
        <v>2.2000000000000002</v>
      </c>
      <c r="J251">
        <v>74</v>
      </c>
      <c r="M251">
        <f t="shared" ca="1" si="12"/>
        <v>907</v>
      </c>
      <c r="N251" s="3" t="str" cm="1">
        <f t="array" ref="N251">_xlfn.IFS(I251&gt;=3.5,"Excellent",I251&gt;=3,"Good",I251&gt;=2,"Average",I251&lt;2,"Poor")</f>
        <v>Average</v>
      </c>
      <c r="P251" t="str">
        <f t="shared" si="13"/>
        <v/>
      </c>
      <c r="Q251">
        <f t="shared" si="14"/>
        <v>687719</v>
      </c>
      <c r="R251">
        <v>2023</v>
      </c>
      <c r="X251" t="str">
        <f t="shared" ca="1" si="15"/>
        <v/>
      </c>
    </row>
    <row r="252" spans="1:24" x14ac:dyDescent="0.25">
      <c r="A252" t="s">
        <v>525</v>
      </c>
      <c r="B252" t="s">
        <v>526</v>
      </c>
      <c r="C252" t="s">
        <v>12</v>
      </c>
      <c r="D252" t="s">
        <v>62</v>
      </c>
      <c r="E252" s="1">
        <v>45391</v>
      </c>
      <c r="F252" t="s">
        <v>14</v>
      </c>
      <c r="G252">
        <v>4101</v>
      </c>
      <c r="H252">
        <v>6124</v>
      </c>
      <c r="I252">
        <v>2.59</v>
      </c>
      <c r="J252">
        <v>77</v>
      </c>
      <c r="M252">
        <f t="shared" ca="1" si="12"/>
        <v>458</v>
      </c>
      <c r="N252" s="3" t="str" cm="1">
        <f t="array" ref="N252">_xlfn.IFS(I252&gt;=3.5,"Excellent",I252&gt;=3,"Good",I252&gt;=2,"Average",I252&lt;2,"Poor")</f>
        <v>Average</v>
      </c>
      <c r="P252" t="str">
        <f t="shared" si="13"/>
        <v>True</v>
      </c>
      <c r="Q252">
        <f t="shared" si="14"/>
        <v>687719</v>
      </c>
      <c r="R252">
        <v>2024</v>
      </c>
      <c r="X252" t="str">
        <f t="shared" ca="1" si="15"/>
        <v/>
      </c>
    </row>
    <row r="253" spans="1:24" x14ac:dyDescent="0.25">
      <c r="A253" t="s">
        <v>527</v>
      </c>
      <c r="B253" t="s">
        <v>528</v>
      </c>
      <c r="C253" t="s">
        <v>28</v>
      </c>
      <c r="D253" t="s">
        <v>13</v>
      </c>
      <c r="E253" s="1">
        <v>45016</v>
      </c>
      <c r="F253" t="s">
        <v>14</v>
      </c>
      <c r="G253">
        <v>2923</v>
      </c>
      <c r="H253">
        <v>6728</v>
      </c>
      <c r="I253">
        <v>3.9</v>
      </c>
      <c r="J253">
        <v>116</v>
      </c>
      <c r="M253">
        <f t="shared" ca="1" si="12"/>
        <v>833</v>
      </c>
      <c r="N253" s="3" t="str" cm="1">
        <f t="array" ref="N253">_xlfn.IFS(I253&gt;=3.5,"Excellent",I253&gt;=3,"Good",I253&gt;=2,"Average",I253&lt;2,"Poor")</f>
        <v>Excellent</v>
      </c>
      <c r="P253" t="str">
        <f t="shared" si="13"/>
        <v>True</v>
      </c>
      <c r="Q253">
        <f t="shared" si="14"/>
        <v>687719</v>
      </c>
      <c r="R253">
        <v>2023</v>
      </c>
      <c r="X253" t="str">
        <f t="shared" ca="1" si="15"/>
        <v/>
      </c>
    </row>
    <row r="254" spans="1:24" x14ac:dyDescent="0.25">
      <c r="A254" t="s">
        <v>529</v>
      </c>
      <c r="B254" t="s">
        <v>530</v>
      </c>
      <c r="C254" t="s">
        <v>12</v>
      </c>
      <c r="D254" t="s">
        <v>31</v>
      </c>
      <c r="E254" s="1">
        <v>44725</v>
      </c>
      <c r="F254" t="s">
        <v>14</v>
      </c>
      <c r="G254">
        <v>6135</v>
      </c>
      <c r="H254">
        <v>4716</v>
      </c>
      <c r="I254">
        <v>2.1800000000000002</v>
      </c>
      <c r="J254">
        <v>52</v>
      </c>
      <c r="M254">
        <f t="shared" ca="1" si="12"/>
        <v>1124</v>
      </c>
      <c r="N254" s="3" t="str" cm="1">
        <f t="array" ref="N254">_xlfn.IFS(I254&gt;=3.5,"Excellent",I254&gt;=3,"Good",I254&gt;=2,"Average",I254&lt;2,"Poor")</f>
        <v>Average</v>
      </c>
      <c r="P254" t="str">
        <f t="shared" si="13"/>
        <v>True</v>
      </c>
      <c r="Q254">
        <f t="shared" si="14"/>
        <v>687719</v>
      </c>
      <c r="R254">
        <v>2022</v>
      </c>
      <c r="X254" t="str">
        <f t="shared" ca="1" si="15"/>
        <v/>
      </c>
    </row>
    <row r="255" spans="1:24" x14ac:dyDescent="0.25">
      <c r="A255" t="s">
        <v>531</v>
      </c>
      <c r="B255" t="s">
        <v>532</v>
      </c>
      <c r="C255" t="s">
        <v>54</v>
      </c>
      <c r="D255" t="s">
        <v>62</v>
      </c>
      <c r="E255" s="1">
        <v>45084</v>
      </c>
      <c r="F255" t="s">
        <v>39</v>
      </c>
      <c r="G255">
        <v>5429</v>
      </c>
      <c r="H255">
        <v>7603</v>
      </c>
      <c r="I255">
        <v>2.35</v>
      </c>
      <c r="J255">
        <v>18</v>
      </c>
      <c r="M255" t="str">
        <f t="shared" ca="1" si="12"/>
        <v/>
      </c>
      <c r="N255" s="3" t="str" cm="1">
        <f t="array" ref="N255">_xlfn.IFS(I255&gt;=3.5,"Excellent",I255&gt;=3,"Good",I255&gt;=2,"Average",I255&lt;2,"Poor")</f>
        <v>Average</v>
      </c>
      <c r="P255" t="str">
        <f t="shared" si="13"/>
        <v>True</v>
      </c>
      <c r="Q255">
        <f t="shared" si="14"/>
        <v>687719</v>
      </c>
      <c r="R255">
        <v>2023</v>
      </c>
      <c r="X255" t="str">
        <f t="shared" ca="1" si="15"/>
        <v/>
      </c>
    </row>
    <row r="256" spans="1:24" x14ac:dyDescent="0.25">
      <c r="A256" t="s">
        <v>533</v>
      </c>
      <c r="B256" t="s">
        <v>534</v>
      </c>
      <c r="C256" t="s">
        <v>28</v>
      </c>
      <c r="D256" t="s">
        <v>62</v>
      </c>
      <c r="E256" s="1">
        <v>45340</v>
      </c>
      <c r="F256" t="s">
        <v>14</v>
      </c>
      <c r="G256">
        <v>9722</v>
      </c>
      <c r="H256">
        <v>9487</v>
      </c>
      <c r="I256">
        <v>3.38</v>
      </c>
      <c r="J256">
        <v>35</v>
      </c>
      <c r="M256">
        <f t="shared" ca="1" si="12"/>
        <v>509</v>
      </c>
      <c r="N256" s="3" t="str" cm="1">
        <f t="array" ref="N256">_xlfn.IFS(I256&gt;=3.5,"Excellent",I256&gt;=3,"Good",I256&gt;=2,"Average",I256&lt;2,"Poor")</f>
        <v>Good</v>
      </c>
      <c r="P256" t="str">
        <f t="shared" si="13"/>
        <v>True</v>
      </c>
      <c r="Q256">
        <f t="shared" si="14"/>
        <v>687719</v>
      </c>
      <c r="R256">
        <v>2024</v>
      </c>
      <c r="X256" t="str">
        <f t="shared" ca="1" si="15"/>
        <v/>
      </c>
    </row>
    <row r="257" spans="1:24" x14ac:dyDescent="0.25">
      <c r="A257" t="s">
        <v>535</v>
      </c>
      <c r="B257" t="s">
        <v>536</v>
      </c>
      <c r="C257" t="s">
        <v>12</v>
      </c>
      <c r="D257" t="s">
        <v>31</v>
      </c>
      <c r="E257" s="1">
        <v>44585</v>
      </c>
      <c r="F257" t="s">
        <v>14</v>
      </c>
      <c r="G257">
        <v>8231</v>
      </c>
      <c r="H257">
        <v>7185</v>
      </c>
      <c r="I257">
        <v>2.23</v>
      </c>
      <c r="J257">
        <v>106</v>
      </c>
      <c r="M257">
        <f t="shared" ca="1" si="12"/>
        <v>1264</v>
      </c>
      <c r="N257" s="3" t="str" cm="1">
        <f t="array" ref="N257">_xlfn.IFS(I257&gt;=3.5,"Excellent",I257&gt;=3,"Good",I257&gt;=2,"Average",I257&lt;2,"Poor")</f>
        <v>Average</v>
      </c>
      <c r="P257" t="str">
        <f t="shared" si="13"/>
        <v>True</v>
      </c>
      <c r="Q257">
        <f t="shared" si="14"/>
        <v>687719</v>
      </c>
      <c r="R257">
        <v>2022</v>
      </c>
      <c r="X257" t="str">
        <f t="shared" ca="1" si="15"/>
        <v/>
      </c>
    </row>
    <row r="258" spans="1:24" x14ac:dyDescent="0.25">
      <c r="A258" t="s">
        <v>537</v>
      </c>
      <c r="B258" t="s">
        <v>538</v>
      </c>
      <c r="C258" t="s">
        <v>25</v>
      </c>
      <c r="D258" t="s">
        <v>13</v>
      </c>
      <c r="E258" s="1">
        <v>45189</v>
      </c>
      <c r="F258" t="s">
        <v>14</v>
      </c>
      <c r="G258">
        <v>6740</v>
      </c>
      <c r="H258">
        <v>1446</v>
      </c>
      <c r="I258">
        <v>3.06</v>
      </c>
      <c r="J258">
        <v>88</v>
      </c>
      <c r="M258">
        <f t="shared" ca="1" si="12"/>
        <v>660</v>
      </c>
      <c r="N258" s="3" t="str" cm="1">
        <f t="array" ref="N258">_xlfn.IFS(I258&gt;=3.5,"Excellent",I258&gt;=3,"Good",I258&gt;=2,"Average",I258&lt;2,"Poor")</f>
        <v>Good</v>
      </c>
      <c r="P258" t="str">
        <f t="shared" si="13"/>
        <v/>
      </c>
      <c r="Q258">
        <f t="shared" si="14"/>
        <v>687719</v>
      </c>
      <c r="R258">
        <v>2023</v>
      </c>
      <c r="X258" t="str">
        <f t="shared" ca="1" si="15"/>
        <v/>
      </c>
    </row>
    <row r="259" spans="1:24" x14ac:dyDescent="0.25">
      <c r="A259" t="s">
        <v>539</v>
      </c>
      <c r="B259" t="s">
        <v>540</v>
      </c>
      <c r="C259" t="s">
        <v>54</v>
      </c>
      <c r="D259" t="s">
        <v>31</v>
      </c>
      <c r="E259" s="1">
        <v>44857</v>
      </c>
      <c r="F259" t="s">
        <v>19</v>
      </c>
      <c r="G259">
        <v>3472</v>
      </c>
      <c r="H259">
        <v>7647</v>
      </c>
      <c r="I259">
        <v>2.27</v>
      </c>
      <c r="J259">
        <v>70</v>
      </c>
      <c r="M259" t="str">
        <f t="shared" ref="M259:M322" ca="1" si="16">IF(F259="Enrolled",TODAY()-E259,"")</f>
        <v/>
      </c>
      <c r="N259" s="3" t="str" cm="1">
        <f t="array" ref="N259">_xlfn.IFS(I259&gt;=3.5,"Excellent",I259&gt;=3,"Good",I259&gt;=2,"Average",I259&lt;2,"Poor")</f>
        <v>Average</v>
      </c>
      <c r="P259" t="str">
        <f t="shared" ref="P259:P322" si="17">IF(H259&gt;0.5*G259,"True","")</f>
        <v>True</v>
      </c>
      <c r="Q259">
        <f t="shared" ref="Q259:Q322" si="18">SUMIFS(G259:G1458,F259:F1458,"Completed",D259:D1458,"Science")</f>
        <v>687719</v>
      </c>
      <c r="R259">
        <v>2022</v>
      </c>
      <c r="X259">
        <f t="shared" ref="X259:X322" ca="1" si="19">IF(F259="Completed",TODAY()-E259,"")</f>
        <v>992</v>
      </c>
    </row>
    <row r="260" spans="1:24" x14ac:dyDescent="0.25">
      <c r="A260" t="s">
        <v>541</v>
      </c>
      <c r="B260" t="s">
        <v>542</v>
      </c>
      <c r="C260" t="s">
        <v>28</v>
      </c>
      <c r="D260" t="s">
        <v>31</v>
      </c>
      <c r="E260" s="1">
        <v>45361</v>
      </c>
      <c r="F260" t="s">
        <v>39</v>
      </c>
      <c r="G260">
        <v>14136</v>
      </c>
      <c r="H260">
        <v>1781</v>
      </c>
      <c r="I260">
        <v>2.06</v>
      </c>
      <c r="J260">
        <v>81</v>
      </c>
      <c r="M260" t="str">
        <f t="shared" ca="1" si="16"/>
        <v/>
      </c>
      <c r="N260" s="3" t="str" cm="1">
        <f t="array" ref="N260">_xlfn.IFS(I260&gt;=3.5,"Excellent",I260&gt;=3,"Good",I260&gt;=2,"Average",I260&lt;2,"Poor")</f>
        <v>Average</v>
      </c>
      <c r="P260" t="str">
        <f t="shared" si="17"/>
        <v/>
      </c>
      <c r="Q260">
        <f t="shared" si="18"/>
        <v>687719</v>
      </c>
      <c r="R260">
        <v>2024</v>
      </c>
      <c r="X260" t="str">
        <f t="shared" ca="1" si="19"/>
        <v/>
      </c>
    </row>
    <row r="261" spans="1:24" x14ac:dyDescent="0.25">
      <c r="A261" t="s">
        <v>543</v>
      </c>
      <c r="B261" t="s">
        <v>544</v>
      </c>
      <c r="C261" t="s">
        <v>54</v>
      </c>
      <c r="D261" t="s">
        <v>13</v>
      </c>
      <c r="E261" s="1">
        <v>44937</v>
      </c>
      <c r="F261" t="s">
        <v>19</v>
      </c>
      <c r="G261">
        <v>8110</v>
      </c>
      <c r="H261">
        <v>2427</v>
      </c>
      <c r="I261">
        <v>3.44</v>
      </c>
      <c r="J261">
        <v>55</v>
      </c>
      <c r="M261" t="str">
        <f t="shared" ca="1" si="16"/>
        <v/>
      </c>
      <c r="N261" s="3" t="str" cm="1">
        <f t="array" ref="N261">_xlfn.IFS(I261&gt;=3.5,"Excellent",I261&gt;=3,"Good",I261&gt;=2,"Average",I261&lt;2,"Poor")</f>
        <v>Good</v>
      </c>
      <c r="P261" t="str">
        <f t="shared" si="17"/>
        <v/>
      </c>
      <c r="Q261">
        <f t="shared" si="18"/>
        <v>687719</v>
      </c>
      <c r="R261">
        <v>2023</v>
      </c>
      <c r="X261">
        <f t="shared" ca="1" si="19"/>
        <v>912</v>
      </c>
    </row>
    <row r="262" spans="1:24" x14ac:dyDescent="0.25">
      <c r="A262" t="s">
        <v>545</v>
      </c>
      <c r="B262" t="s">
        <v>546</v>
      </c>
      <c r="C262" t="s">
        <v>28</v>
      </c>
      <c r="D262" t="s">
        <v>18</v>
      </c>
      <c r="E262" s="1">
        <v>44995</v>
      </c>
      <c r="F262" t="s">
        <v>19</v>
      </c>
      <c r="G262">
        <v>4090</v>
      </c>
      <c r="H262">
        <v>1536</v>
      </c>
      <c r="I262">
        <v>2.95</v>
      </c>
      <c r="J262">
        <v>60</v>
      </c>
      <c r="M262" t="str">
        <f t="shared" ca="1" si="16"/>
        <v/>
      </c>
      <c r="N262" s="3" t="str" cm="1">
        <f t="array" ref="N262">_xlfn.IFS(I262&gt;=3.5,"Excellent",I262&gt;=3,"Good",I262&gt;=2,"Average",I262&lt;2,"Poor")</f>
        <v>Average</v>
      </c>
      <c r="P262" t="str">
        <f t="shared" si="17"/>
        <v/>
      </c>
      <c r="Q262">
        <f t="shared" si="18"/>
        <v>687719</v>
      </c>
      <c r="R262">
        <v>2023</v>
      </c>
      <c r="X262">
        <f t="shared" ca="1" si="19"/>
        <v>854</v>
      </c>
    </row>
    <row r="263" spans="1:24" x14ac:dyDescent="0.25">
      <c r="A263" t="s">
        <v>547</v>
      </c>
      <c r="B263" t="s">
        <v>548</v>
      </c>
      <c r="C263" t="s">
        <v>36</v>
      </c>
      <c r="D263" t="s">
        <v>13</v>
      </c>
      <c r="E263" s="1">
        <v>44952</v>
      </c>
      <c r="F263" t="s">
        <v>14</v>
      </c>
      <c r="G263">
        <v>2654</v>
      </c>
      <c r="H263">
        <v>1494</v>
      </c>
      <c r="I263">
        <v>3.44</v>
      </c>
      <c r="J263">
        <v>78</v>
      </c>
      <c r="M263">
        <f t="shared" ca="1" si="16"/>
        <v>897</v>
      </c>
      <c r="N263" s="3" t="str" cm="1">
        <f t="array" ref="N263">_xlfn.IFS(I263&gt;=3.5,"Excellent",I263&gt;=3,"Good",I263&gt;=2,"Average",I263&lt;2,"Poor")</f>
        <v>Good</v>
      </c>
      <c r="P263" t="str">
        <f t="shared" si="17"/>
        <v>True</v>
      </c>
      <c r="Q263">
        <f t="shared" si="18"/>
        <v>683629</v>
      </c>
      <c r="R263">
        <v>2023</v>
      </c>
      <c r="X263" t="str">
        <f t="shared" ca="1" si="19"/>
        <v/>
      </c>
    </row>
    <row r="264" spans="1:24" x14ac:dyDescent="0.25">
      <c r="A264" t="s">
        <v>549</v>
      </c>
      <c r="B264" t="s">
        <v>550</v>
      </c>
      <c r="C264" t="s">
        <v>12</v>
      </c>
      <c r="D264" t="s">
        <v>62</v>
      </c>
      <c r="E264" s="1">
        <v>45276</v>
      </c>
      <c r="F264" t="s">
        <v>14</v>
      </c>
      <c r="G264">
        <v>14036</v>
      </c>
      <c r="H264">
        <v>9481</v>
      </c>
      <c r="I264">
        <v>3.17</v>
      </c>
      <c r="J264">
        <v>85</v>
      </c>
      <c r="M264">
        <f t="shared" ca="1" si="16"/>
        <v>573</v>
      </c>
      <c r="N264" s="3" t="str" cm="1">
        <f t="array" ref="N264">_xlfn.IFS(I264&gt;=3.5,"Excellent",I264&gt;=3,"Good",I264&gt;=2,"Average",I264&lt;2,"Poor")</f>
        <v>Good</v>
      </c>
      <c r="P264" t="str">
        <f t="shared" si="17"/>
        <v>True</v>
      </c>
      <c r="Q264">
        <f t="shared" si="18"/>
        <v>683629</v>
      </c>
      <c r="R264">
        <v>2023</v>
      </c>
      <c r="X264" t="str">
        <f t="shared" ca="1" si="19"/>
        <v/>
      </c>
    </row>
    <row r="265" spans="1:24" x14ac:dyDescent="0.25">
      <c r="A265" t="s">
        <v>551</v>
      </c>
      <c r="B265" t="s">
        <v>552</v>
      </c>
      <c r="C265" t="s">
        <v>12</v>
      </c>
      <c r="D265" t="s">
        <v>31</v>
      </c>
      <c r="E265" s="1">
        <v>44619</v>
      </c>
      <c r="F265" t="s">
        <v>19</v>
      </c>
      <c r="G265">
        <v>9912</v>
      </c>
      <c r="H265">
        <v>9447</v>
      </c>
      <c r="I265">
        <v>2.11</v>
      </c>
      <c r="J265">
        <v>10</v>
      </c>
      <c r="M265" t="str">
        <f t="shared" ca="1" si="16"/>
        <v/>
      </c>
      <c r="N265" s="3" t="str" cm="1">
        <f t="array" ref="N265">_xlfn.IFS(I265&gt;=3.5,"Excellent",I265&gt;=3,"Good",I265&gt;=2,"Average",I265&lt;2,"Poor")</f>
        <v>Average</v>
      </c>
      <c r="P265" t="str">
        <f t="shared" si="17"/>
        <v>True</v>
      </c>
      <c r="Q265">
        <f t="shared" si="18"/>
        <v>683629</v>
      </c>
      <c r="R265">
        <v>2022</v>
      </c>
      <c r="X265">
        <f t="shared" ca="1" si="19"/>
        <v>1230</v>
      </c>
    </row>
    <row r="266" spans="1:24" x14ac:dyDescent="0.25">
      <c r="A266" t="s">
        <v>553</v>
      </c>
      <c r="B266" t="s">
        <v>554</v>
      </c>
      <c r="C266" t="s">
        <v>25</v>
      </c>
      <c r="D266" t="s">
        <v>13</v>
      </c>
      <c r="E266" s="1">
        <v>44922</v>
      </c>
      <c r="F266" t="s">
        <v>19</v>
      </c>
      <c r="G266">
        <v>6111</v>
      </c>
      <c r="H266">
        <v>1558</v>
      </c>
      <c r="I266">
        <v>2.2200000000000002</v>
      </c>
      <c r="J266">
        <v>48</v>
      </c>
      <c r="M266" t="str">
        <f t="shared" ca="1" si="16"/>
        <v/>
      </c>
      <c r="N266" s="3" t="str" cm="1">
        <f t="array" ref="N266">_xlfn.IFS(I266&gt;=3.5,"Excellent",I266&gt;=3,"Good",I266&gt;=2,"Average",I266&lt;2,"Poor")</f>
        <v>Average</v>
      </c>
      <c r="P266" t="str">
        <f t="shared" si="17"/>
        <v/>
      </c>
      <c r="Q266">
        <f t="shared" si="18"/>
        <v>683629</v>
      </c>
      <c r="R266">
        <v>2022</v>
      </c>
      <c r="X266">
        <f t="shared" ca="1" si="19"/>
        <v>927</v>
      </c>
    </row>
    <row r="267" spans="1:24" x14ac:dyDescent="0.25">
      <c r="A267" t="s">
        <v>555</v>
      </c>
      <c r="B267" t="s">
        <v>556</v>
      </c>
      <c r="C267" t="s">
        <v>25</v>
      </c>
      <c r="D267" t="s">
        <v>62</v>
      </c>
      <c r="E267" s="1">
        <v>45360</v>
      </c>
      <c r="F267" t="s">
        <v>14</v>
      </c>
      <c r="G267">
        <v>12375</v>
      </c>
      <c r="H267">
        <v>1292</v>
      </c>
      <c r="I267">
        <v>2.54</v>
      </c>
      <c r="J267">
        <v>40</v>
      </c>
      <c r="M267">
        <f t="shared" ca="1" si="16"/>
        <v>489</v>
      </c>
      <c r="N267" s="3" t="str" cm="1">
        <f t="array" ref="N267">_xlfn.IFS(I267&gt;=3.5,"Excellent",I267&gt;=3,"Good",I267&gt;=2,"Average",I267&lt;2,"Poor")</f>
        <v>Average</v>
      </c>
      <c r="P267" t="str">
        <f t="shared" si="17"/>
        <v/>
      </c>
      <c r="Q267">
        <f t="shared" si="18"/>
        <v>683629</v>
      </c>
      <c r="R267">
        <v>2024</v>
      </c>
      <c r="X267" t="str">
        <f t="shared" ca="1" si="19"/>
        <v/>
      </c>
    </row>
    <row r="268" spans="1:24" x14ac:dyDescent="0.25">
      <c r="A268" t="s">
        <v>557</v>
      </c>
      <c r="B268" t="s">
        <v>558</v>
      </c>
      <c r="C268" t="s">
        <v>54</v>
      </c>
      <c r="D268" t="s">
        <v>18</v>
      </c>
      <c r="E268" s="1">
        <v>44906</v>
      </c>
      <c r="F268" t="s">
        <v>14</v>
      </c>
      <c r="G268">
        <v>5864</v>
      </c>
      <c r="H268">
        <v>3943</v>
      </c>
      <c r="I268">
        <v>3.14</v>
      </c>
      <c r="J268">
        <v>79</v>
      </c>
      <c r="M268">
        <f t="shared" ca="1" si="16"/>
        <v>943</v>
      </c>
      <c r="N268" s="3" t="str" cm="1">
        <f t="array" ref="N268">_xlfn.IFS(I268&gt;=3.5,"Excellent",I268&gt;=3,"Good",I268&gt;=2,"Average",I268&lt;2,"Poor")</f>
        <v>Good</v>
      </c>
      <c r="P268" t="str">
        <f t="shared" si="17"/>
        <v>True</v>
      </c>
      <c r="Q268">
        <f t="shared" si="18"/>
        <v>683629</v>
      </c>
      <c r="R268">
        <v>2022</v>
      </c>
      <c r="X268" t="str">
        <f t="shared" ca="1" si="19"/>
        <v/>
      </c>
    </row>
    <row r="269" spans="1:24" x14ac:dyDescent="0.25">
      <c r="A269" t="s">
        <v>559</v>
      </c>
      <c r="B269" t="s">
        <v>560</v>
      </c>
      <c r="C269" t="s">
        <v>25</v>
      </c>
      <c r="D269" t="s">
        <v>13</v>
      </c>
      <c r="E269" s="1">
        <v>44637</v>
      </c>
      <c r="F269" t="s">
        <v>14</v>
      </c>
      <c r="G269">
        <v>14547</v>
      </c>
      <c r="H269">
        <v>4922</v>
      </c>
      <c r="I269">
        <v>3.06</v>
      </c>
      <c r="J269">
        <v>67</v>
      </c>
      <c r="M269">
        <f t="shared" ca="1" si="16"/>
        <v>1212</v>
      </c>
      <c r="N269" s="3" t="str" cm="1">
        <f t="array" ref="N269">_xlfn.IFS(I269&gt;=3.5,"Excellent",I269&gt;=3,"Good",I269&gt;=2,"Average",I269&lt;2,"Poor")</f>
        <v>Good</v>
      </c>
      <c r="P269" t="str">
        <f t="shared" si="17"/>
        <v/>
      </c>
      <c r="Q269">
        <f t="shared" si="18"/>
        <v>683629</v>
      </c>
      <c r="R269">
        <v>2022</v>
      </c>
      <c r="X269" t="str">
        <f t="shared" ca="1" si="19"/>
        <v/>
      </c>
    </row>
    <row r="270" spans="1:24" x14ac:dyDescent="0.25">
      <c r="A270" t="s">
        <v>561</v>
      </c>
      <c r="B270" t="s">
        <v>562</v>
      </c>
      <c r="C270" t="s">
        <v>28</v>
      </c>
      <c r="D270" t="s">
        <v>13</v>
      </c>
      <c r="E270" s="1">
        <v>44647</v>
      </c>
      <c r="F270" t="s">
        <v>19</v>
      </c>
      <c r="G270">
        <v>12862</v>
      </c>
      <c r="H270">
        <v>6663</v>
      </c>
      <c r="I270">
        <v>3.69</v>
      </c>
      <c r="J270">
        <v>85</v>
      </c>
      <c r="M270" t="str">
        <f t="shared" ca="1" si="16"/>
        <v/>
      </c>
      <c r="N270" s="3" t="str" cm="1">
        <f t="array" ref="N270">_xlfn.IFS(I270&gt;=3.5,"Excellent",I270&gt;=3,"Good",I270&gt;=2,"Average",I270&lt;2,"Poor")</f>
        <v>Excellent</v>
      </c>
      <c r="P270" t="str">
        <f t="shared" si="17"/>
        <v>True</v>
      </c>
      <c r="Q270">
        <f t="shared" si="18"/>
        <v>683629</v>
      </c>
      <c r="R270">
        <v>2022</v>
      </c>
      <c r="X270">
        <f t="shared" ca="1" si="19"/>
        <v>1202</v>
      </c>
    </row>
    <row r="271" spans="1:24" x14ac:dyDescent="0.25">
      <c r="A271" t="s">
        <v>563</v>
      </c>
      <c r="B271" t="s">
        <v>564</v>
      </c>
      <c r="C271" t="s">
        <v>22</v>
      </c>
      <c r="D271" t="s">
        <v>13</v>
      </c>
      <c r="E271" s="1">
        <v>45234</v>
      </c>
      <c r="F271" t="s">
        <v>14</v>
      </c>
      <c r="G271">
        <v>3181</v>
      </c>
      <c r="H271">
        <v>2030</v>
      </c>
      <c r="I271">
        <v>2.2200000000000002</v>
      </c>
      <c r="J271">
        <v>110</v>
      </c>
      <c r="M271">
        <f t="shared" ca="1" si="16"/>
        <v>615</v>
      </c>
      <c r="N271" s="3" t="str" cm="1">
        <f t="array" ref="N271">_xlfn.IFS(I271&gt;=3.5,"Excellent",I271&gt;=3,"Good",I271&gt;=2,"Average",I271&lt;2,"Poor")</f>
        <v>Average</v>
      </c>
      <c r="P271" t="str">
        <f t="shared" si="17"/>
        <v>True</v>
      </c>
      <c r="Q271">
        <f t="shared" si="18"/>
        <v>683629</v>
      </c>
      <c r="R271">
        <v>2023</v>
      </c>
      <c r="X271" t="str">
        <f t="shared" ca="1" si="19"/>
        <v/>
      </c>
    </row>
    <row r="272" spans="1:24" x14ac:dyDescent="0.25">
      <c r="A272" t="s">
        <v>565</v>
      </c>
      <c r="B272" t="s">
        <v>566</v>
      </c>
      <c r="C272" t="s">
        <v>17</v>
      </c>
      <c r="D272" t="s">
        <v>62</v>
      </c>
      <c r="E272" s="1">
        <v>44759</v>
      </c>
      <c r="F272" t="s">
        <v>19</v>
      </c>
      <c r="G272">
        <v>7961</v>
      </c>
      <c r="H272">
        <v>6424</v>
      </c>
      <c r="I272">
        <v>3.69</v>
      </c>
      <c r="J272">
        <v>12</v>
      </c>
      <c r="M272" t="str">
        <f t="shared" ca="1" si="16"/>
        <v/>
      </c>
      <c r="N272" s="3" t="str" cm="1">
        <f t="array" ref="N272">_xlfn.IFS(I272&gt;=3.5,"Excellent",I272&gt;=3,"Good",I272&gt;=2,"Average",I272&lt;2,"Poor")</f>
        <v>Excellent</v>
      </c>
      <c r="P272" t="str">
        <f t="shared" si="17"/>
        <v>True</v>
      </c>
      <c r="Q272">
        <f t="shared" si="18"/>
        <v>683629</v>
      </c>
      <c r="R272">
        <v>2022</v>
      </c>
      <c r="X272">
        <f t="shared" ca="1" si="19"/>
        <v>1090</v>
      </c>
    </row>
    <row r="273" spans="1:24" x14ac:dyDescent="0.25">
      <c r="A273" t="s">
        <v>567</v>
      </c>
      <c r="B273" t="s">
        <v>568</v>
      </c>
      <c r="C273" t="s">
        <v>54</v>
      </c>
      <c r="D273" t="s">
        <v>18</v>
      </c>
      <c r="E273" s="1">
        <v>44909</v>
      </c>
      <c r="F273" t="s">
        <v>19</v>
      </c>
      <c r="G273">
        <v>3134</v>
      </c>
      <c r="H273">
        <v>313</v>
      </c>
      <c r="I273">
        <v>2.02</v>
      </c>
      <c r="J273">
        <v>112</v>
      </c>
      <c r="M273" t="str">
        <f t="shared" ca="1" si="16"/>
        <v/>
      </c>
      <c r="N273" s="3" t="str" cm="1">
        <f t="array" ref="N273">_xlfn.IFS(I273&gt;=3.5,"Excellent",I273&gt;=3,"Good",I273&gt;=2,"Average",I273&lt;2,"Poor")</f>
        <v>Average</v>
      </c>
      <c r="P273" t="str">
        <f t="shared" si="17"/>
        <v/>
      </c>
      <c r="Q273">
        <f t="shared" si="18"/>
        <v>683629</v>
      </c>
      <c r="R273">
        <v>2022</v>
      </c>
      <c r="X273">
        <f t="shared" ca="1" si="19"/>
        <v>940</v>
      </c>
    </row>
    <row r="274" spans="1:24" x14ac:dyDescent="0.25">
      <c r="A274" t="s">
        <v>569</v>
      </c>
      <c r="B274" t="s">
        <v>570</v>
      </c>
      <c r="C274" t="s">
        <v>57</v>
      </c>
      <c r="D274" t="s">
        <v>18</v>
      </c>
      <c r="E274" s="1">
        <v>45060</v>
      </c>
      <c r="F274" t="s">
        <v>19</v>
      </c>
      <c r="G274">
        <v>13777</v>
      </c>
      <c r="H274">
        <v>8538</v>
      </c>
      <c r="I274">
        <v>3.35</v>
      </c>
      <c r="J274">
        <v>22</v>
      </c>
      <c r="M274" t="str">
        <f t="shared" ca="1" si="16"/>
        <v/>
      </c>
      <c r="N274" s="3" t="str" cm="1">
        <f t="array" ref="N274">_xlfn.IFS(I274&gt;=3.5,"Excellent",I274&gt;=3,"Good",I274&gt;=2,"Average",I274&lt;2,"Poor")</f>
        <v>Good</v>
      </c>
      <c r="P274" t="str">
        <f t="shared" si="17"/>
        <v>True</v>
      </c>
      <c r="Q274">
        <f t="shared" si="18"/>
        <v>680495</v>
      </c>
      <c r="R274">
        <v>2023</v>
      </c>
      <c r="X274">
        <f t="shared" ca="1" si="19"/>
        <v>789</v>
      </c>
    </row>
    <row r="275" spans="1:24" x14ac:dyDescent="0.25">
      <c r="A275" t="s">
        <v>571</v>
      </c>
      <c r="B275" t="s">
        <v>572</v>
      </c>
      <c r="C275" t="s">
        <v>57</v>
      </c>
      <c r="D275" t="s">
        <v>13</v>
      </c>
      <c r="E275" s="1">
        <v>45387</v>
      </c>
      <c r="F275" t="s">
        <v>14</v>
      </c>
      <c r="G275">
        <v>13439</v>
      </c>
      <c r="H275">
        <v>2405</v>
      </c>
      <c r="I275">
        <v>2.5099999999999998</v>
      </c>
      <c r="J275">
        <v>104</v>
      </c>
      <c r="M275">
        <f t="shared" ca="1" si="16"/>
        <v>462</v>
      </c>
      <c r="N275" s="3" t="str" cm="1">
        <f t="array" ref="N275">_xlfn.IFS(I275&gt;=3.5,"Excellent",I275&gt;=3,"Good",I275&gt;=2,"Average",I275&lt;2,"Poor")</f>
        <v>Average</v>
      </c>
      <c r="P275" t="str">
        <f t="shared" si="17"/>
        <v/>
      </c>
      <c r="Q275">
        <f t="shared" si="18"/>
        <v>666718</v>
      </c>
      <c r="R275">
        <v>2024</v>
      </c>
      <c r="X275" t="str">
        <f t="shared" ca="1" si="19"/>
        <v/>
      </c>
    </row>
    <row r="276" spans="1:24" x14ac:dyDescent="0.25">
      <c r="A276" t="s">
        <v>573</v>
      </c>
      <c r="B276" t="s">
        <v>574</v>
      </c>
      <c r="C276" t="s">
        <v>54</v>
      </c>
      <c r="D276" t="s">
        <v>18</v>
      </c>
      <c r="E276" s="1">
        <v>44944</v>
      </c>
      <c r="F276" t="s">
        <v>19</v>
      </c>
      <c r="G276">
        <v>7518</v>
      </c>
      <c r="H276">
        <v>6229</v>
      </c>
      <c r="I276">
        <v>3.59</v>
      </c>
      <c r="J276">
        <v>48</v>
      </c>
      <c r="M276" t="str">
        <f t="shared" ca="1" si="16"/>
        <v/>
      </c>
      <c r="N276" s="3" t="str" cm="1">
        <f t="array" ref="N276">_xlfn.IFS(I276&gt;=3.5,"Excellent",I276&gt;=3,"Good",I276&gt;=2,"Average",I276&lt;2,"Poor")</f>
        <v>Excellent</v>
      </c>
      <c r="P276" t="str">
        <f t="shared" si="17"/>
        <v>True</v>
      </c>
      <c r="Q276">
        <f t="shared" si="18"/>
        <v>666718</v>
      </c>
      <c r="R276">
        <v>2023</v>
      </c>
      <c r="X276">
        <f t="shared" ca="1" si="19"/>
        <v>905</v>
      </c>
    </row>
    <row r="277" spans="1:24" x14ac:dyDescent="0.25">
      <c r="A277" t="s">
        <v>575</v>
      </c>
      <c r="B277" t="s">
        <v>576</v>
      </c>
      <c r="C277" t="s">
        <v>36</v>
      </c>
      <c r="D277" t="s">
        <v>31</v>
      </c>
      <c r="E277" s="1">
        <v>45073</v>
      </c>
      <c r="F277" t="s">
        <v>14</v>
      </c>
      <c r="G277">
        <v>13408</v>
      </c>
      <c r="H277">
        <v>4476</v>
      </c>
      <c r="I277">
        <v>2.15</v>
      </c>
      <c r="J277">
        <v>22</v>
      </c>
      <c r="M277">
        <f t="shared" ca="1" si="16"/>
        <v>776</v>
      </c>
      <c r="N277" s="3" t="str" cm="1">
        <f t="array" ref="N277">_xlfn.IFS(I277&gt;=3.5,"Excellent",I277&gt;=3,"Good",I277&gt;=2,"Average",I277&lt;2,"Poor")</f>
        <v>Average</v>
      </c>
      <c r="P277" t="str">
        <f t="shared" si="17"/>
        <v/>
      </c>
      <c r="Q277">
        <f t="shared" si="18"/>
        <v>659200</v>
      </c>
      <c r="R277">
        <v>2023</v>
      </c>
      <c r="X277" t="str">
        <f t="shared" ca="1" si="19"/>
        <v/>
      </c>
    </row>
    <row r="278" spans="1:24" x14ac:dyDescent="0.25">
      <c r="A278" t="s">
        <v>577</v>
      </c>
      <c r="B278" t="s">
        <v>578</v>
      </c>
      <c r="C278" t="s">
        <v>12</v>
      </c>
      <c r="D278" t="s">
        <v>13</v>
      </c>
      <c r="E278" s="1">
        <v>45450</v>
      </c>
      <c r="F278" t="s">
        <v>14</v>
      </c>
      <c r="G278">
        <v>8007</v>
      </c>
      <c r="H278">
        <v>9251</v>
      </c>
      <c r="I278">
        <v>2.42</v>
      </c>
      <c r="J278">
        <v>37</v>
      </c>
      <c r="M278">
        <f t="shared" ca="1" si="16"/>
        <v>399</v>
      </c>
      <c r="N278" s="3" t="str" cm="1">
        <f t="array" ref="N278">_xlfn.IFS(I278&gt;=3.5,"Excellent",I278&gt;=3,"Good",I278&gt;=2,"Average",I278&lt;2,"Poor")</f>
        <v>Average</v>
      </c>
      <c r="P278" t="str">
        <f t="shared" si="17"/>
        <v>True</v>
      </c>
      <c r="Q278">
        <f t="shared" si="18"/>
        <v>659200</v>
      </c>
      <c r="R278">
        <v>2024</v>
      </c>
      <c r="X278" t="str">
        <f t="shared" ca="1" si="19"/>
        <v/>
      </c>
    </row>
    <row r="279" spans="1:24" x14ac:dyDescent="0.25">
      <c r="A279" t="s">
        <v>579</v>
      </c>
      <c r="B279" t="s">
        <v>580</v>
      </c>
      <c r="C279" t="s">
        <v>12</v>
      </c>
      <c r="D279" t="s">
        <v>62</v>
      </c>
      <c r="E279" s="1">
        <v>45183</v>
      </c>
      <c r="F279" t="s">
        <v>19</v>
      </c>
      <c r="G279">
        <v>9757</v>
      </c>
      <c r="H279">
        <v>7770</v>
      </c>
      <c r="I279">
        <v>3.36</v>
      </c>
      <c r="J279">
        <v>103</v>
      </c>
      <c r="M279" t="str">
        <f t="shared" ca="1" si="16"/>
        <v/>
      </c>
      <c r="N279" s="3" t="str" cm="1">
        <f t="array" ref="N279">_xlfn.IFS(I279&gt;=3.5,"Excellent",I279&gt;=3,"Good",I279&gt;=2,"Average",I279&lt;2,"Poor")</f>
        <v>Good</v>
      </c>
      <c r="P279" t="str">
        <f t="shared" si="17"/>
        <v>True</v>
      </c>
      <c r="Q279">
        <f t="shared" si="18"/>
        <v>659200</v>
      </c>
      <c r="R279">
        <v>2023</v>
      </c>
      <c r="X279">
        <f t="shared" ca="1" si="19"/>
        <v>666</v>
      </c>
    </row>
    <row r="280" spans="1:24" x14ac:dyDescent="0.25">
      <c r="A280" t="s">
        <v>581</v>
      </c>
      <c r="B280" t="s">
        <v>582</v>
      </c>
      <c r="C280" t="s">
        <v>25</v>
      </c>
      <c r="D280" t="s">
        <v>62</v>
      </c>
      <c r="E280" s="1">
        <v>44989</v>
      </c>
      <c r="F280" t="s">
        <v>19</v>
      </c>
      <c r="G280">
        <v>5923</v>
      </c>
      <c r="H280">
        <v>8679</v>
      </c>
      <c r="I280">
        <v>2.2799999999999998</v>
      </c>
      <c r="J280">
        <v>65</v>
      </c>
      <c r="M280" t="str">
        <f t="shared" ca="1" si="16"/>
        <v/>
      </c>
      <c r="N280" s="3" t="str" cm="1">
        <f t="array" ref="N280">_xlfn.IFS(I280&gt;=3.5,"Excellent",I280&gt;=3,"Good",I280&gt;=2,"Average",I280&lt;2,"Poor")</f>
        <v>Average</v>
      </c>
      <c r="P280" t="str">
        <f t="shared" si="17"/>
        <v>True</v>
      </c>
      <c r="Q280">
        <f t="shared" si="18"/>
        <v>659200</v>
      </c>
      <c r="R280">
        <v>2023</v>
      </c>
      <c r="X280">
        <f t="shared" ca="1" si="19"/>
        <v>860</v>
      </c>
    </row>
    <row r="281" spans="1:24" x14ac:dyDescent="0.25">
      <c r="A281" t="s">
        <v>583</v>
      </c>
      <c r="B281" t="s">
        <v>584</v>
      </c>
      <c r="C281" t="s">
        <v>54</v>
      </c>
      <c r="D281" t="s">
        <v>31</v>
      </c>
      <c r="E281" s="1">
        <v>45210</v>
      </c>
      <c r="F281" t="s">
        <v>19</v>
      </c>
      <c r="G281">
        <v>11940</v>
      </c>
      <c r="H281">
        <v>9530</v>
      </c>
      <c r="I281">
        <v>2.02</v>
      </c>
      <c r="J281">
        <v>30</v>
      </c>
      <c r="M281" t="str">
        <f t="shared" ca="1" si="16"/>
        <v/>
      </c>
      <c r="N281" s="3" t="str" cm="1">
        <f t="array" ref="N281">_xlfn.IFS(I281&gt;=3.5,"Excellent",I281&gt;=3,"Good",I281&gt;=2,"Average",I281&lt;2,"Poor")</f>
        <v>Average</v>
      </c>
      <c r="P281" t="str">
        <f t="shared" si="17"/>
        <v>True</v>
      </c>
      <c r="Q281">
        <f t="shared" si="18"/>
        <v>659200</v>
      </c>
      <c r="R281">
        <v>2023</v>
      </c>
      <c r="X281">
        <f t="shared" ca="1" si="19"/>
        <v>639</v>
      </c>
    </row>
    <row r="282" spans="1:24" x14ac:dyDescent="0.25">
      <c r="A282" t="s">
        <v>585</v>
      </c>
      <c r="B282" t="s">
        <v>586</v>
      </c>
      <c r="C282" t="s">
        <v>36</v>
      </c>
      <c r="D282" t="s">
        <v>13</v>
      </c>
      <c r="E282" s="1">
        <v>45155</v>
      </c>
      <c r="F282" t="s">
        <v>19</v>
      </c>
      <c r="G282">
        <v>12216</v>
      </c>
      <c r="H282">
        <v>8265</v>
      </c>
      <c r="I282">
        <v>3.42</v>
      </c>
      <c r="J282">
        <v>5</v>
      </c>
      <c r="M282" t="str">
        <f t="shared" ca="1" si="16"/>
        <v/>
      </c>
      <c r="N282" s="3" t="str" cm="1">
        <f t="array" ref="N282">_xlfn.IFS(I282&gt;=3.5,"Excellent",I282&gt;=3,"Good",I282&gt;=2,"Average",I282&lt;2,"Poor")</f>
        <v>Good</v>
      </c>
      <c r="P282" t="str">
        <f t="shared" si="17"/>
        <v>True</v>
      </c>
      <c r="Q282">
        <f t="shared" si="18"/>
        <v>659200</v>
      </c>
      <c r="R282">
        <v>2023</v>
      </c>
      <c r="X282">
        <f t="shared" ca="1" si="19"/>
        <v>694</v>
      </c>
    </row>
    <row r="283" spans="1:24" x14ac:dyDescent="0.25">
      <c r="A283" t="s">
        <v>587</v>
      </c>
      <c r="B283" t="s">
        <v>588</v>
      </c>
      <c r="C283" t="s">
        <v>54</v>
      </c>
      <c r="D283" t="s">
        <v>31</v>
      </c>
      <c r="E283" s="1">
        <v>44910</v>
      </c>
      <c r="F283" t="s">
        <v>14</v>
      </c>
      <c r="G283">
        <v>8332</v>
      </c>
      <c r="H283">
        <v>4580</v>
      </c>
      <c r="I283">
        <v>2.6</v>
      </c>
      <c r="J283">
        <v>53</v>
      </c>
      <c r="M283">
        <f t="shared" ca="1" si="16"/>
        <v>939</v>
      </c>
      <c r="N283" s="3" t="str" cm="1">
        <f t="array" ref="N283">_xlfn.IFS(I283&gt;=3.5,"Excellent",I283&gt;=3,"Good",I283&gt;=2,"Average",I283&lt;2,"Poor")</f>
        <v>Average</v>
      </c>
      <c r="P283" t="str">
        <f t="shared" si="17"/>
        <v>True</v>
      </c>
      <c r="Q283">
        <f t="shared" si="18"/>
        <v>659200</v>
      </c>
      <c r="R283">
        <v>2022</v>
      </c>
      <c r="X283" t="str">
        <f t="shared" ca="1" si="19"/>
        <v/>
      </c>
    </row>
    <row r="284" spans="1:24" x14ac:dyDescent="0.25">
      <c r="A284" t="s">
        <v>589</v>
      </c>
      <c r="B284" t="s">
        <v>590</v>
      </c>
      <c r="C284" t="s">
        <v>54</v>
      </c>
      <c r="D284" t="s">
        <v>31</v>
      </c>
      <c r="E284" s="1">
        <v>44869</v>
      </c>
      <c r="F284" t="s">
        <v>14</v>
      </c>
      <c r="G284">
        <v>8893</v>
      </c>
      <c r="H284">
        <v>6924</v>
      </c>
      <c r="I284">
        <v>3.7</v>
      </c>
      <c r="J284">
        <v>51</v>
      </c>
      <c r="M284">
        <f t="shared" ca="1" si="16"/>
        <v>980</v>
      </c>
      <c r="N284" s="3" t="str" cm="1">
        <f t="array" ref="N284">_xlfn.IFS(I284&gt;=3.5,"Excellent",I284&gt;=3,"Good",I284&gt;=2,"Average",I284&lt;2,"Poor")</f>
        <v>Excellent</v>
      </c>
      <c r="P284" t="str">
        <f t="shared" si="17"/>
        <v>True</v>
      </c>
      <c r="Q284">
        <f t="shared" si="18"/>
        <v>659200</v>
      </c>
      <c r="R284">
        <v>2022</v>
      </c>
      <c r="X284" t="str">
        <f t="shared" ca="1" si="19"/>
        <v/>
      </c>
    </row>
    <row r="285" spans="1:24" x14ac:dyDescent="0.25">
      <c r="A285" t="s">
        <v>591</v>
      </c>
      <c r="B285" t="s">
        <v>592</v>
      </c>
      <c r="C285" t="s">
        <v>28</v>
      </c>
      <c r="D285" t="s">
        <v>31</v>
      </c>
      <c r="E285" s="1">
        <v>44725</v>
      </c>
      <c r="F285" t="s">
        <v>39</v>
      </c>
      <c r="G285">
        <v>9981</v>
      </c>
      <c r="H285">
        <v>2190</v>
      </c>
      <c r="I285">
        <v>2.12</v>
      </c>
      <c r="J285">
        <v>53</v>
      </c>
      <c r="M285" t="str">
        <f t="shared" ca="1" si="16"/>
        <v/>
      </c>
      <c r="N285" s="3" t="str" cm="1">
        <f t="array" ref="N285">_xlfn.IFS(I285&gt;=3.5,"Excellent",I285&gt;=3,"Good",I285&gt;=2,"Average",I285&lt;2,"Poor")</f>
        <v>Average</v>
      </c>
      <c r="P285" t="str">
        <f t="shared" si="17"/>
        <v/>
      </c>
      <c r="Q285">
        <f t="shared" si="18"/>
        <v>659200</v>
      </c>
      <c r="R285">
        <v>2022</v>
      </c>
      <c r="X285" t="str">
        <f t="shared" ca="1" si="19"/>
        <v/>
      </c>
    </row>
    <row r="286" spans="1:24" x14ac:dyDescent="0.25">
      <c r="A286" t="s">
        <v>593</v>
      </c>
      <c r="B286" t="s">
        <v>594</v>
      </c>
      <c r="C286" t="s">
        <v>22</v>
      </c>
      <c r="D286" t="s">
        <v>31</v>
      </c>
      <c r="E286" s="1">
        <v>45254</v>
      </c>
      <c r="F286" t="s">
        <v>19</v>
      </c>
      <c r="G286">
        <v>9881</v>
      </c>
      <c r="H286">
        <v>561</v>
      </c>
      <c r="I286">
        <v>2.93</v>
      </c>
      <c r="J286">
        <v>90</v>
      </c>
      <c r="M286" t="str">
        <f t="shared" ca="1" si="16"/>
        <v/>
      </c>
      <c r="N286" s="3" t="str" cm="1">
        <f t="array" ref="N286">_xlfn.IFS(I286&gt;=3.5,"Excellent",I286&gt;=3,"Good",I286&gt;=2,"Average",I286&lt;2,"Poor")</f>
        <v>Average</v>
      </c>
      <c r="P286" t="str">
        <f t="shared" si="17"/>
        <v/>
      </c>
      <c r="Q286">
        <f t="shared" si="18"/>
        <v>659200</v>
      </c>
      <c r="R286">
        <v>2023</v>
      </c>
      <c r="X286">
        <f t="shared" ca="1" si="19"/>
        <v>595</v>
      </c>
    </row>
    <row r="287" spans="1:24" x14ac:dyDescent="0.25">
      <c r="A287" t="s">
        <v>595</v>
      </c>
      <c r="B287" t="s">
        <v>596</v>
      </c>
      <c r="C287" t="s">
        <v>12</v>
      </c>
      <c r="D287" t="s">
        <v>13</v>
      </c>
      <c r="E287" s="1">
        <v>45178</v>
      </c>
      <c r="F287" t="s">
        <v>14</v>
      </c>
      <c r="G287">
        <v>2709</v>
      </c>
      <c r="H287">
        <v>4201</v>
      </c>
      <c r="I287">
        <v>2.2599999999999998</v>
      </c>
      <c r="J287">
        <v>50</v>
      </c>
      <c r="M287">
        <f t="shared" ca="1" si="16"/>
        <v>671</v>
      </c>
      <c r="N287" s="3" t="str" cm="1">
        <f t="array" ref="N287">_xlfn.IFS(I287&gt;=3.5,"Excellent",I287&gt;=3,"Good",I287&gt;=2,"Average",I287&lt;2,"Poor")</f>
        <v>Average</v>
      </c>
      <c r="P287" t="str">
        <f t="shared" si="17"/>
        <v>True</v>
      </c>
      <c r="Q287">
        <f t="shared" si="18"/>
        <v>659200</v>
      </c>
      <c r="R287">
        <v>2023</v>
      </c>
      <c r="X287" t="str">
        <f t="shared" ca="1" si="19"/>
        <v/>
      </c>
    </row>
    <row r="288" spans="1:24" x14ac:dyDescent="0.25">
      <c r="A288" t="s">
        <v>597</v>
      </c>
      <c r="B288" t="s">
        <v>598</v>
      </c>
      <c r="C288" t="s">
        <v>17</v>
      </c>
      <c r="D288" t="s">
        <v>31</v>
      </c>
      <c r="E288" s="1">
        <v>44580</v>
      </c>
      <c r="F288" t="s">
        <v>14</v>
      </c>
      <c r="G288">
        <v>11935</v>
      </c>
      <c r="H288">
        <v>4832</v>
      </c>
      <c r="I288">
        <v>2.36</v>
      </c>
      <c r="J288">
        <v>31</v>
      </c>
      <c r="M288">
        <f t="shared" ca="1" si="16"/>
        <v>1269</v>
      </c>
      <c r="N288" s="3" t="str" cm="1">
        <f t="array" ref="N288">_xlfn.IFS(I288&gt;=3.5,"Excellent",I288&gt;=3,"Good",I288&gt;=2,"Average",I288&lt;2,"Poor")</f>
        <v>Average</v>
      </c>
      <c r="P288" t="str">
        <f t="shared" si="17"/>
        <v/>
      </c>
      <c r="Q288">
        <f t="shared" si="18"/>
        <v>659200</v>
      </c>
      <c r="R288">
        <v>2022</v>
      </c>
      <c r="X288" t="str">
        <f t="shared" ca="1" si="19"/>
        <v/>
      </c>
    </row>
    <row r="289" spans="1:24" x14ac:dyDescent="0.25">
      <c r="A289" t="s">
        <v>599</v>
      </c>
      <c r="B289" t="s">
        <v>600</v>
      </c>
      <c r="C289" t="s">
        <v>25</v>
      </c>
      <c r="D289" t="s">
        <v>31</v>
      </c>
      <c r="E289" s="1">
        <v>45452</v>
      </c>
      <c r="F289" t="s">
        <v>14</v>
      </c>
      <c r="G289">
        <v>11303</v>
      </c>
      <c r="H289">
        <v>4786</v>
      </c>
      <c r="I289">
        <v>2.72</v>
      </c>
      <c r="J289">
        <v>60</v>
      </c>
      <c r="M289">
        <f t="shared" ca="1" si="16"/>
        <v>397</v>
      </c>
      <c r="N289" s="3" t="str" cm="1">
        <f t="array" ref="N289">_xlfn.IFS(I289&gt;=3.5,"Excellent",I289&gt;=3,"Good",I289&gt;=2,"Average",I289&lt;2,"Poor")</f>
        <v>Average</v>
      </c>
      <c r="P289" t="str">
        <f t="shared" si="17"/>
        <v/>
      </c>
      <c r="Q289">
        <f t="shared" si="18"/>
        <v>659200</v>
      </c>
      <c r="R289">
        <v>2024</v>
      </c>
      <c r="X289" t="str">
        <f t="shared" ca="1" si="19"/>
        <v/>
      </c>
    </row>
    <row r="290" spans="1:24" x14ac:dyDescent="0.25">
      <c r="A290" t="s">
        <v>601</v>
      </c>
      <c r="B290" t="s">
        <v>602</v>
      </c>
      <c r="C290" t="s">
        <v>57</v>
      </c>
      <c r="D290" t="s">
        <v>62</v>
      </c>
      <c r="E290" s="1">
        <v>44872</v>
      </c>
      <c r="F290" t="s">
        <v>19</v>
      </c>
      <c r="G290">
        <v>14396</v>
      </c>
      <c r="H290">
        <v>4065</v>
      </c>
      <c r="I290">
        <v>2.06</v>
      </c>
      <c r="J290">
        <v>34</v>
      </c>
      <c r="M290" t="str">
        <f t="shared" ca="1" si="16"/>
        <v/>
      </c>
      <c r="N290" s="3" t="str" cm="1">
        <f t="array" ref="N290">_xlfn.IFS(I290&gt;=3.5,"Excellent",I290&gt;=3,"Good",I290&gt;=2,"Average",I290&lt;2,"Poor")</f>
        <v>Average</v>
      </c>
      <c r="P290" t="str">
        <f t="shared" si="17"/>
        <v/>
      </c>
      <c r="Q290">
        <f t="shared" si="18"/>
        <v>659200</v>
      </c>
      <c r="R290">
        <v>2022</v>
      </c>
      <c r="X290">
        <f t="shared" ca="1" si="19"/>
        <v>977</v>
      </c>
    </row>
    <row r="291" spans="1:24" x14ac:dyDescent="0.25">
      <c r="A291" t="s">
        <v>603</v>
      </c>
      <c r="B291" t="s">
        <v>604</v>
      </c>
      <c r="C291" t="s">
        <v>36</v>
      </c>
      <c r="D291" t="s">
        <v>13</v>
      </c>
      <c r="E291" s="1">
        <v>44980</v>
      </c>
      <c r="F291" t="s">
        <v>19</v>
      </c>
      <c r="G291">
        <v>7215</v>
      </c>
      <c r="H291">
        <v>260</v>
      </c>
      <c r="I291">
        <v>2.98</v>
      </c>
      <c r="J291">
        <v>47</v>
      </c>
      <c r="M291" t="str">
        <f t="shared" ca="1" si="16"/>
        <v/>
      </c>
      <c r="N291" s="3" t="str" cm="1">
        <f t="array" ref="N291">_xlfn.IFS(I291&gt;=3.5,"Excellent",I291&gt;=3,"Good",I291&gt;=2,"Average",I291&lt;2,"Poor")</f>
        <v>Average</v>
      </c>
      <c r="P291" t="str">
        <f t="shared" si="17"/>
        <v/>
      </c>
      <c r="Q291">
        <f t="shared" si="18"/>
        <v>659200</v>
      </c>
      <c r="R291">
        <v>2023</v>
      </c>
      <c r="X291">
        <f t="shared" ca="1" si="19"/>
        <v>869</v>
      </c>
    </row>
    <row r="292" spans="1:24" x14ac:dyDescent="0.25">
      <c r="A292" t="s">
        <v>605</v>
      </c>
      <c r="B292" t="s">
        <v>606</v>
      </c>
      <c r="C292" t="s">
        <v>57</v>
      </c>
      <c r="D292" t="s">
        <v>62</v>
      </c>
      <c r="E292" s="1">
        <v>44698</v>
      </c>
      <c r="F292" t="s">
        <v>14</v>
      </c>
      <c r="G292">
        <v>5255</v>
      </c>
      <c r="H292">
        <v>6902</v>
      </c>
      <c r="I292">
        <v>3.64</v>
      </c>
      <c r="J292">
        <v>86</v>
      </c>
      <c r="M292">
        <f t="shared" ca="1" si="16"/>
        <v>1151</v>
      </c>
      <c r="N292" s="3" t="str" cm="1">
        <f t="array" ref="N292">_xlfn.IFS(I292&gt;=3.5,"Excellent",I292&gt;=3,"Good",I292&gt;=2,"Average",I292&lt;2,"Poor")</f>
        <v>Excellent</v>
      </c>
      <c r="P292" t="str">
        <f t="shared" si="17"/>
        <v>True</v>
      </c>
      <c r="Q292">
        <f t="shared" si="18"/>
        <v>659200</v>
      </c>
      <c r="R292">
        <v>2022</v>
      </c>
      <c r="X292" t="str">
        <f t="shared" ca="1" si="19"/>
        <v/>
      </c>
    </row>
    <row r="293" spans="1:24" x14ac:dyDescent="0.25">
      <c r="A293" t="s">
        <v>607</v>
      </c>
      <c r="B293" t="s">
        <v>608</v>
      </c>
      <c r="C293" t="s">
        <v>54</v>
      </c>
      <c r="D293" t="s">
        <v>13</v>
      </c>
      <c r="E293" s="1">
        <v>45433</v>
      </c>
      <c r="F293" t="s">
        <v>39</v>
      </c>
      <c r="G293">
        <v>9805</v>
      </c>
      <c r="H293">
        <v>1354</v>
      </c>
      <c r="I293">
        <v>3.9</v>
      </c>
      <c r="J293">
        <v>83</v>
      </c>
      <c r="M293" t="str">
        <f t="shared" ca="1" si="16"/>
        <v/>
      </c>
      <c r="N293" s="3" t="str" cm="1">
        <f t="array" ref="N293">_xlfn.IFS(I293&gt;=3.5,"Excellent",I293&gt;=3,"Good",I293&gt;=2,"Average",I293&lt;2,"Poor")</f>
        <v>Excellent</v>
      </c>
      <c r="P293" t="str">
        <f t="shared" si="17"/>
        <v/>
      </c>
      <c r="Q293">
        <f t="shared" si="18"/>
        <v>659200</v>
      </c>
      <c r="R293">
        <v>2024</v>
      </c>
      <c r="X293" t="str">
        <f t="shared" ca="1" si="19"/>
        <v/>
      </c>
    </row>
    <row r="294" spans="1:24" x14ac:dyDescent="0.25">
      <c r="A294" t="s">
        <v>609</v>
      </c>
      <c r="B294" t="s">
        <v>610</v>
      </c>
      <c r="C294" t="s">
        <v>25</v>
      </c>
      <c r="D294" t="s">
        <v>18</v>
      </c>
      <c r="E294" s="1">
        <v>44933</v>
      </c>
      <c r="F294" t="s">
        <v>19</v>
      </c>
      <c r="G294">
        <v>4492</v>
      </c>
      <c r="H294">
        <v>9577</v>
      </c>
      <c r="I294">
        <v>3.78</v>
      </c>
      <c r="J294">
        <v>58</v>
      </c>
      <c r="M294" t="str">
        <f t="shared" ca="1" si="16"/>
        <v/>
      </c>
      <c r="N294" s="3" t="str" cm="1">
        <f t="array" ref="N294">_xlfn.IFS(I294&gt;=3.5,"Excellent",I294&gt;=3,"Good",I294&gt;=2,"Average",I294&lt;2,"Poor")</f>
        <v>Excellent</v>
      </c>
      <c r="P294" t="str">
        <f t="shared" si="17"/>
        <v>True</v>
      </c>
      <c r="Q294">
        <f t="shared" si="18"/>
        <v>659200</v>
      </c>
      <c r="R294">
        <v>2023</v>
      </c>
      <c r="X294">
        <f t="shared" ca="1" si="19"/>
        <v>916</v>
      </c>
    </row>
    <row r="295" spans="1:24" x14ac:dyDescent="0.25">
      <c r="A295" t="s">
        <v>611</v>
      </c>
      <c r="B295" t="s">
        <v>612</v>
      </c>
      <c r="C295" t="s">
        <v>36</v>
      </c>
      <c r="D295" t="s">
        <v>62</v>
      </c>
      <c r="E295" s="1">
        <v>44691</v>
      </c>
      <c r="F295" t="s">
        <v>14</v>
      </c>
      <c r="G295">
        <v>14426</v>
      </c>
      <c r="H295">
        <v>9248</v>
      </c>
      <c r="I295">
        <v>2.79</v>
      </c>
      <c r="J295">
        <v>87</v>
      </c>
      <c r="M295">
        <f t="shared" ca="1" si="16"/>
        <v>1158</v>
      </c>
      <c r="N295" s="3" t="str" cm="1">
        <f t="array" ref="N295">_xlfn.IFS(I295&gt;=3.5,"Excellent",I295&gt;=3,"Good",I295&gt;=2,"Average",I295&lt;2,"Poor")</f>
        <v>Average</v>
      </c>
      <c r="P295" t="str">
        <f t="shared" si="17"/>
        <v>True</v>
      </c>
      <c r="Q295">
        <f t="shared" si="18"/>
        <v>654708</v>
      </c>
      <c r="R295">
        <v>2022</v>
      </c>
      <c r="X295" t="str">
        <f t="shared" ca="1" si="19"/>
        <v/>
      </c>
    </row>
    <row r="296" spans="1:24" x14ac:dyDescent="0.25">
      <c r="A296" t="s">
        <v>613</v>
      </c>
      <c r="B296" t="s">
        <v>614</v>
      </c>
      <c r="C296" t="s">
        <v>57</v>
      </c>
      <c r="D296" t="s">
        <v>62</v>
      </c>
      <c r="E296" s="1">
        <v>44914</v>
      </c>
      <c r="F296" t="s">
        <v>19</v>
      </c>
      <c r="G296">
        <v>5148</v>
      </c>
      <c r="H296">
        <v>2434</v>
      </c>
      <c r="I296">
        <v>3.96</v>
      </c>
      <c r="J296">
        <v>32</v>
      </c>
      <c r="M296" t="str">
        <f t="shared" ca="1" si="16"/>
        <v/>
      </c>
      <c r="N296" s="3" t="str" cm="1">
        <f t="array" ref="N296">_xlfn.IFS(I296&gt;=3.5,"Excellent",I296&gt;=3,"Good",I296&gt;=2,"Average",I296&lt;2,"Poor")</f>
        <v>Excellent</v>
      </c>
      <c r="P296" t="str">
        <f t="shared" si="17"/>
        <v/>
      </c>
      <c r="Q296">
        <f t="shared" si="18"/>
        <v>654708</v>
      </c>
      <c r="R296">
        <v>2022</v>
      </c>
      <c r="X296">
        <f t="shared" ca="1" si="19"/>
        <v>935</v>
      </c>
    </row>
    <row r="297" spans="1:24" x14ac:dyDescent="0.25">
      <c r="A297" t="s">
        <v>615</v>
      </c>
      <c r="B297" t="s">
        <v>616</v>
      </c>
      <c r="C297" t="s">
        <v>22</v>
      </c>
      <c r="D297" t="s">
        <v>18</v>
      </c>
      <c r="E297" s="1">
        <v>45240</v>
      </c>
      <c r="F297" t="s">
        <v>14</v>
      </c>
      <c r="G297">
        <v>11170</v>
      </c>
      <c r="H297">
        <v>7941</v>
      </c>
      <c r="I297">
        <v>2.06</v>
      </c>
      <c r="J297">
        <v>112</v>
      </c>
      <c r="M297">
        <f t="shared" ca="1" si="16"/>
        <v>609</v>
      </c>
      <c r="N297" s="3" t="str" cm="1">
        <f t="array" ref="N297">_xlfn.IFS(I297&gt;=3.5,"Excellent",I297&gt;=3,"Good",I297&gt;=2,"Average",I297&lt;2,"Poor")</f>
        <v>Average</v>
      </c>
      <c r="P297" t="str">
        <f t="shared" si="17"/>
        <v>True</v>
      </c>
      <c r="Q297">
        <f t="shared" si="18"/>
        <v>654708</v>
      </c>
      <c r="R297">
        <v>2023</v>
      </c>
      <c r="X297" t="str">
        <f t="shared" ca="1" si="19"/>
        <v/>
      </c>
    </row>
    <row r="298" spans="1:24" x14ac:dyDescent="0.25">
      <c r="A298" t="s">
        <v>617</v>
      </c>
      <c r="B298" t="s">
        <v>618</v>
      </c>
      <c r="C298" t="s">
        <v>57</v>
      </c>
      <c r="D298" t="s">
        <v>62</v>
      </c>
      <c r="E298" s="1">
        <v>44765</v>
      </c>
      <c r="F298" t="s">
        <v>14</v>
      </c>
      <c r="G298">
        <v>12190</v>
      </c>
      <c r="H298">
        <v>3721</v>
      </c>
      <c r="I298">
        <v>3.4</v>
      </c>
      <c r="J298">
        <v>5</v>
      </c>
      <c r="M298">
        <f t="shared" ca="1" si="16"/>
        <v>1084</v>
      </c>
      <c r="N298" s="3" t="str" cm="1">
        <f t="array" ref="N298">_xlfn.IFS(I298&gt;=3.5,"Excellent",I298&gt;=3,"Good",I298&gt;=2,"Average",I298&lt;2,"Poor")</f>
        <v>Good</v>
      </c>
      <c r="P298" t="str">
        <f t="shared" si="17"/>
        <v/>
      </c>
      <c r="Q298">
        <f t="shared" si="18"/>
        <v>654708</v>
      </c>
      <c r="R298">
        <v>2022</v>
      </c>
      <c r="X298" t="str">
        <f t="shared" ca="1" si="19"/>
        <v/>
      </c>
    </row>
    <row r="299" spans="1:24" x14ac:dyDescent="0.25">
      <c r="A299" t="s">
        <v>619</v>
      </c>
      <c r="B299" t="s">
        <v>620</v>
      </c>
      <c r="C299" t="s">
        <v>28</v>
      </c>
      <c r="D299" t="s">
        <v>62</v>
      </c>
      <c r="E299" s="1">
        <v>44840</v>
      </c>
      <c r="F299" t="s">
        <v>19</v>
      </c>
      <c r="G299">
        <v>11788</v>
      </c>
      <c r="H299">
        <v>6411</v>
      </c>
      <c r="I299">
        <v>3.18</v>
      </c>
      <c r="J299">
        <v>23</v>
      </c>
      <c r="M299" t="str">
        <f t="shared" ca="1" si="16"/>
        <v/>
      </c>
      <c r="N299" s="3" t="str" cm="1">
        <f t="array" ref="N299">_xlfn.IFS(I299&gt;=3.5,"Excellent",I299&gt;=3,"Good",I299&gt;=2,"Average",I299&lt;2,"Poor")</f>
        <v>Good</v>
      </c>
      <c r="P299" t="str">
        <f t="shared" si="17"/>
        <v>True</v>
      </c>
      <c r="Q299">
        <f t="shared" si="18"/>
        <v>654708</v>
      </c>
      <c r="R299">
        <v>2022</v>
      </c>
      <c r="X299">
        <f t="shared" ca="1" si="19"/>
        <v>1009</v>
      </c>
    </row>
    <row r="300" spans="1:24" x14ac:dyDescent="0.25">
      <c r="A300" t="s">
        <v>621</v>
      </c>
      <c r="B300" t="s">
        <v>622</v>
      </c>
      <c r="C300" t="s">
        <v>57</v>
      </c>
      <c r="D300" t="s">
        <v>62</v>
      </c>
      <c r="E300" s="1">
        <v>45340</v>
      </c>
      <c r="F300" t="s">
        <v>14</v>
      </c>
      <c r="G300">
        <v>7884</v>
      </c>
      <c r="H300">
        <v>6454</v>
      </c>
      <c r="I300">
        <v>2.1</v>
      </c>
      <c r="J300">
        <v>40</v>
      </c>
      <c r="M300">
        <f t="shared" ca="1" si="16"/>
        <v>509</v>
      </c>
      <c r="N300" s="3" t="str" cm="1">
        <f t="array" ref="N300">_xlfn.IFS(I300&gt;=3.5,"Excellent",I300&gt;=3,"Good",I300&gt;=2,"Average",I300&lt;2,"Poor")</f>
        <v>Average</v>
      </c>
      <c r="P300" t="str">
        <f t="shared" si="17"/>
        <v>True</v>
      </c>
      <c r="Q300">
        <f t="shared" si="18"/>
        <v>654708</v>
      </c>
      <c r="R300">
        <v>2024</v>
      </c>
      <c r="X300" t="str">
        <f t="shared" ca="1" si="19"/>
        <v/>
      </c>
    </row>
    <row r="301" spans="1:24" x14ac:dyDescent="0.25">
      <c r="A301" t="s">
        <v>623</v>
      </c>
      <c r="B301" t="s">
        <v>624</v>
      </c>
      <c r="C301" t="s">
        <v>22</v>
      </c>
      <c r="D301" t="s">
        <v>31</v>
      </c>
      <c r="E301" s="1">
        <v>45011</v>
      </c>
      <c r="F301" t="s">
        <v>19</v>
      </c>
      <c r="G301">
        <v>3515</v>
      </c>
      <c r="H301">
        <v>4798</v>
      </c>
      <c r="I301">
        <v>2.41</v>
      </c>
      <c r="J301">
        <v>115</v>
      </c>
      <c r="M301" t="str">
        <f t="shared" ca="1" si="16"/>
        <v/>
      </c>
      <c r="N301" s="3" t="str" cm="1">
        <f t="array" ref="N301">_xlfn.IFS(I301&gt;=3.5,"Excellent",I301&gt;=3,"Good",I301&gt;=2,"Average",I301&lt;2,"Poor")</f>
        <v>Average</v>
      </c>
      <c r="P301" t="str">
        <f t="shared" si="17"/>
        <v>True</v>
      </c>
      <c r="Q301">
        <f t="shared" si="18"/>
        <v>654708</v>
      </c>
      <c r="R301">
        <v>2023</v>
      </c>
      <c r="X301">
        <f t="shared" ca="1" si="19"/>
        <v>838</v>
      </c>
    </row>
    <row r="302" spans="1:24" x14ac:dyDescent="0.25">
      <c r="A302" t="s">
        <v>625</v>
      </c>
      <c r="B302" t="s">
        <v>626</v>
      </c>
      <c r="C302" t="s">
        <v>57</v>
      </c>
      <c r="D302" t="s">
        <v>62</v>
      </c>
      <c r="E302" s="1">
        <v>44772</v>
      </c>
      <c r="F302" t="s">
        <v>19</v>
      </c>
      <c r="G302">
        <v>11803</v>
      </c>
      <c r="H302">
        <v>6022</v>
      </c>
      <c r="I302">
        <v>2.94</v>
      </c>
      <c r="J302">
        <v>116</v>
      </c>
      <c r="M302" t="str">
        <f t="shared" ca="1" si="16"/>
        <v/>
      </c>
      <c r="N302" s="3" t="str" cm="1">
        <f t="array" ref="N302">_xlfn.IFS(I302&gt;=3.5,"Excellent",I302&gt;=3,"Good",I302&gt;=2,"Average",I302&lt;2,"Poor")</f>
        <v>Average</v>
      </c>
      <c r="P302" t="str">
        <f t="shared" si="17"/>
        <v>True</v>
      </c>
      <c r="Q302">
        <f t="shared" si="18"/>
        <v>654708</v>
      </c>
      <c r="R302">
        <v>2022</v>
      </c>
      <c r="X302">
        <f t="shared" ca="1" si="19"/>
        <v>1077</v>
      </c>
    </row>
    <row r="303" spans="1:24" x14ac:dyDescent="0.25">
      <c r="A303" t="s">
        <v>627</v>
      </c>
      <c r="B303" t="s">
        <v>628</v>
      </c>
      <c r="C303" t="s">
        <v>22</v>
      </c>
      <c r="D303" t="s">
        <v>13</v>
      </c>
      <c r="E303" s="1">
        <v>44691</v>
      </c>
      <c r="F303" t="s">
        <v>14</v>
      </c>
      <c r="G303">
        <v>5515</v>
      </c>
      <c r="H303">
        <v>5467</v>
      </c>
      <c r="I303">
        <v>3.85</v>
      </c>
      <c r="J303">
        <v>65</v>
      </c>
      <c r="M303">
        <f t="shared" ca="1" si="16"/>
        <v>1158</v>
      </c>
      <c r="N303" s="3" t="str" cm="1">
        <f t="array" ref="N303">_xlfn.IFS(I303&gt;=3.5,"Excellent",I303&gt;=3,"Good",I303&gt;=2,"Average",I303&lt;2,"Poor")</f>
        <v>Excellent</v>
      </c>
      <c r="P303" t="str">
        <f t="shared" si="17"/>
        <v>True</v>
      </c>
      <c r="Q303">
        <f t="shared" si="18"/>
        <v>654708</v>
      </c>
      <c r="R303">
        <v>2022</v>
      </c>
      <c r="X303" t="str">
        <f t="shared" ca="1" si="19"/>
        <v/>
      </c>
    </row>
    <row r="304" spans="1:24" x14ac:dyDescent="0.25">
      <c r="A304" t="s">
        <v>629</v>
      </c>
      <c r="B304" t="s">
        <v>630</v>
      </c>
      <c r="C304" t="s">
        <v>25</v>
      </c>
      <c r="D304" t="s">
        <v>62</v>
      </c>
      <c r="E304" s="1">
        <v>44812</v>
      </c>
      <c r="F304" t="s">
        <v>14</v>
      </c>
      <c r="G304">
        <v>12810</v>
      </c>
      <c r="H304">
        <v>9194</v>
      </c>
      <c r="I304">
        <v>3.95</v>
      </c>
      <c r="J304">
        <v>58</v>
      </c>
      <c r="M304">
        <f t="shared" ca="1" si="16"/>
        <v>1037</v>
      </c>
      <c r="N304" s="3" t="str" cm="1">
        <f t="array" ref="N304">_xlfn.IFS(I304&gt;=3.5,"Excellent",I304&gt;=3,"Good",I304&gt;=2,"Average",I304&lt;2,"Poor")</f>
        <v>Excellent</v>
      </c>
      <c r="P304" t="str">
        <f t="shared" si="17"/>
        <v>True</v>
      </c>
      <c r="Q304">
        <f t="shared" si="18"/>
        <v>654708</v>
      </c>
      <c r="R304">
        <v>2022</v>
      </c>
      <c r="X304" t="str">
        <f t="shared" ca="1" si="19"/>
        <v/>
      </c>
    </row>
    <row r="305" spans="1:24" x14ac:dyDescent="0.25">
      <c r="A305" t="s">
        <v>631</v>
      </c>
      <c r="B305" t="s">
        <v>632</v>
      </c>
      <c r="C305" t="s">
        <v>25</v>
      </c>
      <c r="D305" t="s">
        <v>31</v>
      </c>
      <c r="E305" s="1">
        <v>44839</v>
      </c>
      <c r="F305" t="s">
        <v>14</v>
      </c>
      <c r="G305">
        <v>4155</v>
      </c>
      <c r="H305">
        <v>4450</v>
      </c>
      <c r="I305">
        <v>3.64</v>
      </c>
      <c r="J305">
        <v>25</v>
      </c>
      <c r="M305">
        <f t="shared" ca="1" si="16"/>
        <v>1010</v>
      </c>
      <c r="N305" s="3" t="str" cm="1">
        <f t="array" ref="N305">_xlfn.IFS(I305&gt;=3.5,"Excellent",I305&gt;=3,"Good",I305&gt;=2,"Average",I305&lt;2,"Poor")</f>
        <v>Excellent</v>
      </c>
      <c r="P305" t="str">
        <f t="shared" si="17"/>
        <v>True</v>
      </c>
      <c r="Q305">
        <f t="shared" si="18"/>
        <v>654708</v>
      </c>
      <c r="R305">
        <v>2022</v>
      </c>
      <c r="X305" t="str">
        <f t="shared" ca="1" si="19"/>
        <v/>
      </c>
    </row>
    <row r="306" spans="1:24" x14ac:dyDescent="0.25">
      <c r="A306" t="s">
        <v>633</v>
      </c>
      <c r="B306" t="s">
        <v>634</v>
      </c>
      <c r="C306" t="s">
        <v>17</v>
      </c>
      <c r="D306" t="s">
        <v>62</v>
      </c>
      <c r="E306" s="1">
        <v>45372</v>
      </c>
      <c r="F306" t="s">
        <v>14</v>
      </c>
      <c r="G306">
        <v>7723</v>
      </c>
      <c r="H306">
        <v>368</v>
      </c>
      <c r="I306">
        <v>3.09</v>
      </c>
      <c r="J306">
        <v>23</v>
      </c>
      <c r="M306">
        <f t="shared" ca="1" si="16"/>
        <v>477</v>
      </c>
      <c r="N306" s="3" t="str" cm="1">
        <f t="array" ref="N306">_xlfn.IFS(I306&gt;=3.5,"Excellent",I306&gt;=3,"Good",I306&gt;=2,"Average",I306&lt;2,"Poor")</f>
        <v>Good</v>
      </c>
      <c r="P306" t="str">
        <f t="shared" si="17"/>
        <v/>
      </c>
      <c r="Q306">
        <f t="shared" si="18"/>
        <v>654708</v>
      </c>
      <c r="R306">
        <v>2024</v>
      </c>
      <c r="X306" t="str">
        <f t="shared" ca="1" si="19"/>
        <v/>
      </c>
    </row>
    <row r="307" spans="1:24" x14ac:dyDescent="0.25">
      <c r="A307" t="s">
        <v>635</v>
      </c>
      <c r="B307" t="s">
        <v>636</v>
      </c>
      <c r="C307" t="s">
        <v>36</v>
      </c>
      <c r="D307" t="s">
        <v>18</v>
      </c>
      <c r="E307" s="1">
        <v>44883</v>
      </c>
      <c r="F307" t="s">
        <v>19</v>
      </c>
      <c r="G307">
        <v>6777</v>
      </c>
      <c r="H307">
        <v>7534</v>
      </c>
      <c r="I307">
        <v>2.29</v>
      </c>
      <c r="J307">
        <v>47</v>
      </c>
      <c r="M307" t="str">
        <f t="shared" ca="1" si="16"/>
        <v/>
      </c>
      <c r="N307" s="3" t="str" cm="1">
        <f t="array" ref="N307">_xlfn.IFS(I307&gt;=3.5,"Excellent",I307&gt;=3,"Good",I307&gt;=2,"Average",I307&lt;2,"Poor")</f>
        <v>Average</v>
      </c>
      <c r="P307" t="str">
        <f t="shared" si="17"/>
        <v>True</v>
      </c>
      <c r="Q307">
        <f t="shared" si="18"/>
        <v>654708</v>
      </c>
      <c r="R307">
        <v>2022</v>
      </c>
      <c r="X307">
        <f t="shared" ca="1" si="19"/>
        <v>966</v>
      </c>
    </row>
    <row r="308" spans="1:24" x14ac:dyDescent="0.25">
      <c r="A308" t="s">
        <v>637</v>
      </c>
      <c r="B308" t="s">
        <v>638</v>
      </c>
      <c r="C308" t="s">
        <v>12</v>
      </c>
      <c r="D308" t="s">
        <v>13</v>
      </c>
      <c r="E308" s="1">
        <v>44584</v>
      </c>
      <c r="F308" t="s">
        <v>19</v>
      </c>
      <c r="G308">
        <v>8267</v>
      </c>
      <c r="H308">
        <v>1717</v>
      </c>
      <c r="I308">
        <v>3.92</v>
      </c>
      <c r="J308">
        <v>56</v>
      </c>
      <c r="M308" t="str">
        <f t="shared" ca="1" si="16"/>
        <v/>
      </c>
      <c r="N308" s="3" t="str" cm="1">
        <f t="array" ref="N308">_xlfn.IFS(I308&gt;=3.5,"Excellent",I308&gt;=3,"Good",I308&gt;=2,"Average",I308&lt;2,"Poor")</f>
        <v>Excellent</v>
      </c>
      <c r="P308" t="str">
        <f t="shared" si="17"/>
        <v/>
      </c>
      <c r="Q308">
        <f t="shared" si="18"/>
        <v>647931</v>
      </c>
      <c r="R308">
        <v>2022</v>
      </c>
      <c r="X308">
        <f t="shared" ca="1" si="19"/>
        <v>1265</v>
      </c>
    </row>
    <row r="309" spans="1:24" x14ac:dyDescent="0.25">
      <c r="A309" t="s">
        <v>639</v>
      </c>
      <c r="B309" t="s">
        <v>640</v>
      </c>
      <c r="C309" t="s">
        <v>12</v>
      </c>
      <c r="D309" t="s">
        <v>62</v>
      </c>
      <c r="E309" s="1">
        <v>44940</v>
      </c>
      <c r="F309" t="s">
        <v>14</v>
      </c>
      <c r="G309">
        <v>9602</v>
      </c>
      <c r="H309">
        <v>3213</v>
      </c>
      <c r="I309">
        <v>3.51</v>
      </c>
      <c r="J309">
        <v>103</v>
      </c>
      <c r="M309">
        <f t="shared" ca="1" si="16"/>
        <v>909</v>
      </c>
      <c r="N309" s="3" t="str" cm="1">
        <f t="array" ref="N309">_xlfn.IFS(I309&gt;=3.5,"Excellent",I309&gt;=3,"Good",I309&gt;=2,"Average",I309&lt;2,"Poor")</f>
        <v>Excellent</v>
      </c>
      <c r="P309" t="str">
        <f t="shared" si="17"/>
        <v/>
      </c>
      <c r="Q309">
        <f t="shared" si="18"/>
        <v>647931</v>
      </c>
      <c r="R309">
        <v>2023</v>
      </c>
      <c r="X309" t="str">
        <f t="shared" ca="1" si="19"/>
        <v/>
      </c>
    </row>
    <row r="310" spans="1:24" x14ac:dyDescent="0.25">
      <c r="A310" t="s">
        <v>641</v>
      </c>
      <c r="B310" t="s">
        <v>642</v>
      </c>
      <c r="C310" t="s">
        <v>22</v>
      </c>
      <c r="D310" t="s">
        <v>31</v>
      </c>
      <c r="E310" s="1">
        <v>45017</v>
      </c>
      <c r="F310" t="s">
        <v>14</v>
      </c>
      <c r="G310">
        <v>7771</v>
      </c>
      <c r="H310">
        <v>7737</v>
      </c>
      <c r="I310">
        <v>3.5</v>
      </c>
      <c r="J310">
        <v>44</v>
      </c>
      <c r="M310">
        <f t="shared" ca="1" si="16"/>
        <v>832</v>
      </c>
      <c r="N310" s="3" t="str" cm="1">
        <f t="array" ref="N310">_xlfn.IFS(I310&gt;=3.5,"Excellent",I310&gt;=3,"Good",I310&gt;=2,"Average",I310&lt;2,"Poor")</f>
        <v>Excellent</v>
      </c>
      <c r="P310" t="str">
        <f t="shared" si="17"/>
        <v>True</v>
      </c>
      <c r="Q310">
        <f t="shared" si="18"/>
        <v>647931</v>
      </c>
      <c r="R310">
        <v>2023</v>
      </c>
      <c r="X310" t="str">
        <f t="shared" ca="1" si="19"/>
        <v/>
      </c>
    </row>
    <row r="311" spans="1:24" x14ac:dyDescent="0.25">
      <c r="A311" t="s">
        <v>643</v>
      </c>
      <c r="B311" t="s">
        <v>644</v>
      </c>
      <c r="C311" t="s">
        <v>54</v>
      </c>
      <c r="D311" t="s">
        <v>62</v>
      </c>
      <c r="E311" s="1">
        <v>44728</v>
      </c>
      <c r="F311" t="s">
        <v>14</v>
      </c>
      <c r="G311">
        <v>6051</v>
      </c>
      <c r="H311">
        <v>2238</v>
      </c>
      <c r="I311">
        <v>2.88</v>
      </c>
      <c r="J311">
        <v>73</v>
      </c>
      <c r="M311">
        <f t="shared" ca="1" si="16"/>
        <v>1121</v>
      </c>
      <c r="N311" s="3" t="str" cm="1">
        <f t="array" ref="N311">_xlfn.IFS(I311&gt;=3.5,"Excellent",I311&gt;=3,"Good",I311&gt;=2,"Average",I311&lt;2,"Poor")</f>
        <v>Average</v>
      </c>
      <c r="P311" t="str">
        <f t="shared" si="17"/>
        <v/>
      </c>
      <c r="Q311">
        <f t="shared" si="18"/>
        <v>647931</v>
      </c>
      <c r="R311">
        <v>2022</v>
      </c>
      <c r="X311" t="str">
        <f t="shared" ca="1" si="19"/>
        <v/>
      </c>
    </row>
    <row r="312" spans="1:24" x14ac:dyDescent="0.25">
      <c r="A312" t="s">
        <v>645</v>
      </c>
      <c r="B312" t="s">
        <v>646</v>
      </c>
      <c r="C312" t="s">
        <v>22</v>
      </c>
      <c r="D312" t="s">
        <v>31</v>
      </c>
      <c r="E312" s="1">
        <v>45068</v>
      </c>
      <c r="F312" t="s">
        <v>19</v>
      </c>
      <c r="G312">
        <v>10432</v>
      </c>
      <c r="H312">
        <v>3942</v>
      </c>
      <c r="I312">
        <v>3.19</v>
      </c>
      <c r="J312">
        <v>34</v>
      </c>
      <c r="M312" t="str">
        <f t="shared" ca="1" si="16"/>
        <v/>
      </c>
      <c r="N312" s="3" t="str" cm="1">
        <f t="array" ref="N312">_xlfn.IFS(I312&gt;=3.5,"Excellent",I312&gt;=3,"Good",I312&gt;=2,"Average",I312&lt;2,"Poor")</f>
        <v>Good</v>
      </c>
      <c r="P312" t="str">
        <f t="shared" si="17"/>
        <v/>
      </c>
      <c r="Q312">
        <f t="shared" si="18"/>
        <v>647931</v>
      </c>
      <c r="R312">
        <v>2023</v>
      </c>
      <c r="X312">
        <f t="shared" ca="1" si="19"/>
        <v>781</v>
      </c>
    </row>
    <row r="313" spans="1:24" x14ac:dyDescent="0.25">
      <c r="A313" t="s">
        <v>647</v>
      </c>
      <c r="B313" t="s">
        <v>648</v>
      </c>
      <c r="C313" t="s">
        <v>57</v>
      </c>
      <c r="D313" t="s">
        <v>18</v>
      </c>
      <c r="E313" s="1">
        <v>44656</v>
      </c>
      <c r="F313" t="s">
        <v>19</v>
      </c>
      <c r="G313">
        <v>13615</v>
      </c>
      <c r="H313">
        <v>6143</v>
      </c>
      <c r="I313">
        <v>2.2999999999999998</v>
      </c>
      <c r="J313">
        <v>26</v>
      </c>
      <c r="M313" t="str">
        <f t="shared" ca="1" si="16"/>
        <v/>
      </c>
      <c r="N313" s="3" t="str" cm="1">
        <f t="array" ref="N313">_xlfn.IFS(I313&gt;=3.5,"Excellent",I313&gt;=3,"Good",I313&gt;=2,"Average",I313&lt;2,"Poor")</f>
        <v>Average</v>
      </c>
      <c r="P313" t="str">
        <f t="shared" si="17"/>
        <v/>
      </c>
      <c r="Q313">
        <f t="shared" si="18"/>
        <v>647931</v>
      </c>
      <c r="R313">
        <v>2022</v>
      </c>
      <c r="X313">
        <f t="shared" ca="1" si="19"/>
        <v>1193</v>
      </c>
    </row>
    <row r="314" spans="1:24" x14ac:dyDescent="0.25">
      <c r="A314" t="s">
        <v>649</v>
      </c>
      <c r="B314" t="s">
        <v>650</v>
      </c>
      <c r="C314" t="s">
        <v>28</v>
      </c>
      <c r="D314" t="s">
        <v>18</v>
      </c>
      <c r="E314" s="1">
        <v>44579</v>
      </c>
      <c r="F314" t="s">
        <v>14</v>
      </c>
      <c r="G314">
        <v>11152</v>
      </c>
      <c r="H314">
        <v>4980</v>
      </c>
      <c r="I314">
        <v>2.37</v>
      </c>
      <c r="J314">
        <v>27</v>
      </c>
      <c r="M314">
        <f t="shared" ca="1" si="16"/>
        <v>1270</v>
      </c>
      <c r="N314" s="3" t="str" cm="1">
        <f t="array" ref="N314">_xlfn.IFS(I314&gt;=3.5,"Excellent",I314&gt;=3,"Good",I314&gt;=2,"Average",I314&lt;2,"Poor")</f>
        <v>Average</v>
      </c>
      <c r="P314" t="str">
        <f t="shared" si="17"/>
        <v/>
      </c>
      <c r="Q314">
        <f t="shared" si="18"/>
        <v>634316</v>
      </c>
      <c r="R314">
        <v>2022</v>
      </c>
      <c r="X314" t="str">
        <f t="shared" ca="1" si="19"/>
        <v/>
      </c>
    </row>
    <row r="315" spans="1:24" x14ac:dyDescent="0.25">
      <c r="A315" t="s">
        <v>651</v>
      </c>
      <c r="B315" t="s">
        <v>652</v>
      </c>
      <c r="C315" t="s">
        <v>54</v>
      </c>
      <c r="D315" t="s">
        <v>31</v>
      </c>
      <c r="E315" s="1">
        <v>45328</v>
      </c>
      <c r="F315" t="s">
        <v>14</v>
      </c>
      <c r="G315">
        <v>6901</v>
      </c>
      <c r="H315">
        <v>9266</v>
      </c>
      <c r="I315">
        <v>2.88</v>
      </c>
      <c r="J315">
        <v>83</v>
      </c>
      <c r="M315">
        <f t="shared" ca="1" si="16"/>
        <v>521</v>
      </c>
      <c r="N315" s="3" t="str" cm="1">
        <f t="array" ref="N315">_xlfn.IFS(I315&gt;=3.5,"Excellent",I315&gt;=3,"Good",I315&gt;=2,"Average",I315&lt;2,"Poor")</f>
        <v>Average</v>
      </c>
      <c r="P315" t="str">
        <f t="shared" si="17"/>
        <v>True</v>
      </c>
      <c r="Q315">
        <f t="shared" si="18"/>
        <v>634316</v>
      </c>
      <c r="R315">
        <v>2024</v>
      </c>
      <c r="X315" t="str">
        <f t="shared" ca="1" si="19"/>
        <v/>
      </c>
    </row>
    <row r="316" spans="1:24" x14ac:dyDescent="0.25">
      <c r="A316" t="s">
        <v>653</v>
      </c>
      <c r="B316" t="s">
        <v>654</v>
      </c>
      <c r="C316" t="s">
        <v>12</v>
      </c>
      <c r="D316" t="s">
        <v>13</v>
      </c>
      <c r="E316" s="1">
        <v>44730</v>
      </c>
      <c r="F316" t="s">
        <v>14</v>
      </c>
      <c r="G316">
        <v>8130</v>
      </c>
      <c r="H316">
        <v>906</v>
      </c>
      <c r="I316">
        <v>3.34</v>
      </c>
      <c r="J316">
        <v>13</v>
      </c>
      <c r="M316">
        <f t="shared" ca="1" si="16"/>
        <v>1119</v>
      </c>
      <c r="N316" s="3" t="str" cm="1">
        <f t="array" ref="N316">_xlfn.IFS(I316&gt;=3.5,"Excellent",I316&gt;=3,"Good",I316&gt;=2,"Average",I316&lt;2,"Poor")</f>
        <v>Good</v>
      </c>
      <c r="P316" t="str">
        <f t="shared" si="17"/>
        <v/>
      </c>
      <c r="Q316">
        <f t="shared" si="18"/>
        <v>634316</v>
      </c>
      <c r="R316">
        <v>2022</v>
      </c>
      <c r="X316" t="str">
        <f t="shared" ca="1" si="19"/>
        <v/>
      </c>
    </row>
    <row r="317" spans="1:24" x14ac:dyDescent="0.25">
      <c r="A317" t="s">
        <v>655</v>
      </c>
      <c r="B317" t="s">
        <v>656</v>
      </c>
      <c r="C317" t="s">
        <v>22</v>
      </c>
      <c r="D317" t="s">
        <v>13</v>
      </c>
      <c r="E317" s="1">
        <v>44934</v>
      </c>
      <c r="F317" t="s">
        <v>19</v>
      </c>
      <c r="G317">
        <v>3221</v>
      </c>
      <c r="H317">
        <v>8857</v>
      </c>
      <c r="I317">
        <v>3.67</v>
      </c>
      <c r="J317">
        <v>48</v>
      </c>
      <c r="M317" t="str">
        <f t="shared" ca="1" si="16"/>
        <v/>
      </c>
      <c r="N317" s="3" t="str" cm="1">
        <f t="array" ref="N317">_xlfn.IFS(I317&gt;=3.5,"Excellent",I317&gt;=3,"Good",I317&gt;=2,"Average",I317&lt;2,"Poor")</f>
        <v>Excellent</v>
      </c>
      <c r="P317" t="str">
        <f t="shared" si="17"/>
        <v>True</v>
      </c>
      <c r="Q317">
        <f t="shared" si="18"/>
        <v>634316</v>
      </c>
      <c r="R317">
        <v>2023</v>
      </c>
      <c r="X317">
        <f t="shared" ca="1" si="19"/>
        <v>915</v>
      </c>
    </row>
    <row r="318" spans="1:24" x14ac:dyDescent="0.25">
      <c r="A318" t="s">
        <v>657</v>
      </c>
      <c r="B318" t="s">
        <v>658</v>
      </c>
      <c r="C318" t="s">
        <v>17</v>
      </c>
      <c r="D318" t="s">
        <v>62</v>
      </c>
      <c r="E318" s="1">
        <v>44810</v>
      </c>
      <c r="F318" t="s">
        <v>19</v>
      </c>
      <c r="G318">
        <v>14917</v>
      </c>
      <c r="H318">
        <v>1441</v>
      </c>
      <c r="I318">
        <v>2.77</v>
      </c>
      <c r="J318">
        <v>23</v>
      </c>
      <c r="M318" t="str">
        <f t="shared" ca="1" si="16"/>
        <v/>
      </c>
      <c r="N318" s="3" t="str" cm="1">
        <f t="array" ref="N318">_xlfn.IFS(I318&gt;=3.5,"Excellent",I318&gt;=3,"Good",I318&gt;=2,"Average",I318&lt;2,"Poor")</f>
        <v>Average</v>
      </c>
      <c r="P318" t="str">
        <f t="shared" si="17"/>
        <v/>
      </c>
      <c r="Q318">
        <f t="shared" si="18"/>
        <v>634316</v>
      </c>
      <c r="R318">
        <v>2022</v>
      </c>
      <c r="X318">
        <f t="shared" ca="1" si="19"/>
        <v>1039</v>
      </c>
    </row>
    <row r="319" spans="1:24" x14ac:dyDescent="0.25">
      <c r="A319" t="s">
        <v>659</v>
      </c>
      <c r="B319" t="s">
        <v>660</v>
      </c>
      <c r="C319" t="s">
        <v>36</v>
      </c>
      <c r="D319" t="s">
        <v>62</v>
      </c>
      <c r="E319" s="1">
        <v>44893</v>
      </c>
      <c r="F319" t="s">
        <v>14</v>
      </c>
      <c r="G319">
        <v>12168</v>
      </c>
      <c r="H319">
        <v>2071</v>
      </c>
      <c r="I319">
        <v>2.75</v>
      </c>
      <c r="J319">
        <v>24</v>
      </c>
      <c r="M319">
        <f t="shared" ca="1" si="16"/>
        <v>956</v>
      </c>
      <c r="N319" s="3" t="str" cm="1">
        <f t="array" ref="N319">_xlfn.IFS(I319&gt;=3.5,"Excellent",I319&gt;=3,"Good",I319&gt;=2,"Average",I319&lt;2,"Poor")</f>
        <v>Average</v>
      </c>
      <c r="P319" t="str">
        <f t="shared" si="17"/>
        <v/>
      </c>
      <c r="Q319">
        <f t="shared" si="18"/>
        <v>634316</v>
      </c>
      <c r="R319">
        <v>2022</v>
      </c>
      <c r="X319" t="str">
        <f t="shared" ca="1" si="19"/>
        <v/>
      </c>
    </row>
    <row r="320" spans="1:24" x14ac:dyDescent="0.25">
      <c r="A320" t="s">
        <v>661</v>
      </c>
      <c r="B320" t="s">
        <v>662</v>
      </c>
      <c r="C320" t="s">
        <v>54</v>
      </c>
      <c r="D320" t="s">
        <v>31</v>
      </c>
      <c r="E320" s="1">
        <v>44725</v>
      </c>
      <c r="F320" t="s">
        <v>19</v>
      </c>
      <c r="G320">
        <v>10039</v>
      </c>
      <c r="H320">
        <v>458</v>
      </c>
      <c r="I320">
        <v>3.26</v>
      </c>
      <c r="J320">
        <v>63</v>
      </c>
      <c r="M320" t="str">
        <f t="shared" ca="1" si="16"/>
        <v/>
      </c>
      <c r="N320" s="3" t="str" cm="1">
        <f t="array" ref="N320">_xlfn.IFS(I320&gt;=3.5,"Excellent",I320&gt;=3,"Good",I320&gt;=2,"Average",I320&lt;2,"Poor")</f>
        <v>Good</v>
      </c>
      <c r="P320" t="str">
        <f t="shared" si="17"/>
        <v/>
      </c>
      <c r="Q320">
        <f t="shared" si="18"/>
        <v>634316</v>
      </c>
      <c r="R320">
        <v>2022</v>
      </c>
      <c r="X320">
        <f t="shared" ca="1" si="19"/>
        <v>1124</v>
      </c>
    </row>
    <row r="321" spans="1:24" x14ac:dyDescent="0.25">
      <c r="A321" t="s">
        <v>663</v>
      </c>
      <c r="B321" t="s">
        <v>664</v>
      </c>
      <c r="C321" t="s">
        <v>54</v>
      </c>
      <c r="D321" t="s">
        <v>62</v>
      </c>
      <c r="E321" s="1">
        <v>44601</v>
      </c>
      <c r="F321" t="s">
        <v>14</v>
      </c>
      <c r="G321">
        <v>3870</v>
      </c>
      <c r="H321">
        <v>3731</v>
      </c>
      <c r="I321">
        <v>2.08</v>
      </c>
      <c r="J321">
        <v>65</v>
      </c>
      <c r="M321">
        <f t="shared" ca="1" si="16"/>
        <v>1248</v>
      </c>
      <c r="N321" s="3" t="str" cm="1">
        <f t="array" ref="N321">_xlfn.IFS(I321&gt;=3.5,"Excellent",I321&gt;=3,"Good",I321&gt;=2,"Average",I321&lt;2,"Poor")</f>
        <v>Average</v>
      </c>
      <c r="P321" t="str">
        <f t="shared" si="17"/>
        <v>True</v>
      </c>
      <c r="Q321">
        <f t="shared" si="18"/>
        <v>634316</v>
      </c>
      <c r="R321">
        <v>2022</v>
      </c>
      <c r="X321" t="str">
        <f t="shared" ca="1" si="19"/>
        <v/>
      </c>
    </row>
    <row r="322" spans="1:24" x14ac:dyDescent="0.25">
      <c r="A322" t="s">
        <v>665</v>
      </c>
      <c r="B322" t="s">
        <v>666</v>
      </c>
      <c r="C322" t="s">
        <v>36</v>
      </c>
      <c r="D322" t="s">
        <v>62</v>
      </c>
      <c r="E322" s="1">
        <v>44877</v>
      </c>
      <c r="F322" t="s">
        <v>19</v>
      </c>
      <c r="G322">
        <v>5914</v>
      </c>
      <c r="H322">
        <v>3962</v>
      </c>
      <c r="I322">
        <v>2.11</v>
      </c>
      <c r="J322">
        <v>71</v>
      </c>
      <c r="M322" t="str">
        <f t="shared" ca="1" si="16"/>
        <v/>
      </c>
      <c r="N322" s="3" t="str" cm="1">
        <f t="array" ref="N322">_xlfn.IFS(I322&gt;=3.5,"Excellent",I322&gt;=3,"Good",I322&gt;=2,"Average",I322&lt;2,"Poor")</f>
        <v>Average</v>
      </c>
      <c r="P322" t="str">
        <f t="shared" si="17"/>
        <v>True</v>
      </c>
      <c r="Q322">
        <f t="shared" si="18"/>
        <v>634316</v>
      </c>
      <c r="R322">
        <v>2022</v>
      </c>
      <c r="X322">
        <f t="shared" ca="1" si="19"/>
        <v>972</v>
      </c>
    </row>
    <row r="323" spans="1:24" x14ac:dyDescent="0.25">
      <c r="A323" t="s">
        <v>667</v>
      </c>
      <c r="B323" t="s">
        <v>668</v>
      </c>
      <c r="C323" t="s">
        <v>17</v>
      </c>
      <c r="D323" t="s">
        <v>62</v>
      </c>
      <c r="E323" s="1">
        <v>45444</v>
      </c>
      <c r="F323" t="s">
        <v>14</v>
      </c>
      <c r="G323">
        <v>2084</v>
      </c>
      <c r="H323">
        <v>5468</v>
      </c>
      <c r="I323">
        <v>2.79</v>
      </c>
      <c r="J323">
        <v>46</v>
      </c>
      <c r="M323">
        <f t="shared" ref="M323:M386" ca="1" si="20">IF(F323="Enrolled",TODAY()-E323,"")</f>
        <v>405</v>
      </c>
      <c r="N323" s="3" t="str" cm="1">
        <f t="array" ref="N323">_xlfn.IFS(I323&gt;=3.5,"Excellent",I323&gt;=3,"Good",I323&gt;=2,"Average",I323&lt;2,"Poor")</f>
        <v>Average</v>
      </c>
      <c r="P323" t="str">
        <f t="shared" ref="P323:P386" si="21">IF(H323&gt;0.5*G323,"True","")</f>
        <v>True</v>
      </c>
      <c r="Q323">
        <f t="shared" ref="Q323:Q386" si="22">SUMIFS(G323:G1522,F323:F1522,"Completed",D323:D1522,"Science")</f>
        <v>634316</v>
      </c>
      <c r="R323">
        <v>2024</v>
      </c>
      <c r="X323" t="str">
        <f t="shared" ref="X323:X386" ca="1" si="23">IF(F323="Completed",TODAY()-E323,"")</f>
        <v/>
      </c>
    </row>
    <row r="324" spans="1:24" x14ac:dyDescent="0.25">
      <c r="A324" t="s">
        <v>669</v>
      </c>
      <c r="B324" t="s">
        <v>670</v>
      </c>
      <c r="C324" t="s">
        <v>12</v>
      </c>
      <c r="D324" t="s">
        <v>62</v>
      </c>
      <c r="E324" s="1">
        <v>44616</v>
      </c>
      <c r="F324" t="s">
        <v>14</v>
      </c>
      <c r="G324">
        <v>9739</v>
      </c>
      <c r="H324">
        <v>3558</v>
      </c>
      <c r="I324">
        <v>3.14</v>
      </c>
      <c r="J324">
        <v>50</v>
      </c>
      <c r="M324">
        <f t="shared" ca="1" si="20"/>
        <v>1233</v>
      </c>
      <c r="N324" s="3" t="str" cm="1">
        <f t="array" ref="N324">_xlfn.IFS(I324&gt;=3.5,"Excellent",I324&gt;=3,"Good",I324&gt;=2,"Average",I324&lt;2,"Poor")</f>
        <v>Good</v>
      </c>
      <c r="P324" t="str">
        <f t="shared" si="21"/>
        <v/>
      </c>
      <c r="Q324">
        <f t="shared" si="22"/>
        <v>634316</v>
      </c>
      <c r="R324">
        <v>2022</v>
      </c>
      <c r="X324" t="str">
        <f t="shared" ca="1" si="23"/>
        <v/>
      </c>
    </row>
    <row r="325" spans="1:24" x14ac:dyDescent="0.25">
      <c r="A325" t="s">
        <v>671</v>
      </c>
      <c r="B325" t="s">
        <v>672</v>
      </c>
      <c r="C325" t="s">
        <v>36</v>
      </c>
      <c r="D325" t="s">
        <v>18</v>
      </c>
      <c r="E325" s="1">
        <v>45261</v>
      </c>
      <c r="F325" t="s">
        <v>19</v>
      </c>
      <c r="G325">
        <v>5005</v>
      </c>
      <c r="H325">
        <v>5309</v>
      </c>
      <c r="I325">
        <v>3.62</v>
      </c>
      <c r="J325">
        <v>31</v>
      </c>
      <c r="M325" t="str">
        <f t="shared" ca="1" si="20"/>
        <v/>
      </c>
      <c r="N325" s="3" t="str" cm="1">
        <f t="array" ref="N325">_xlfn.IFS(I325&gt;=3.5,"Excellent",I325&gt;=3,"Good",I325&gt;=2,"Average",I325&lt;2,"Poor")</f>
        <v>Excellent</v>
      </c>
      <c r="P325" t="str">
        <f t="shared" si="21"/>
        <v>True</v>
      </c>
      <c r="Q325">
        <f t="shared" si="22"/>
        <v>634316</v>
      </c>
      <c r="R325">
        <v>2023</v>
      </c>
      <c r="X325">
        <f t="shared" ca="1" si="23"/>
        <v>588</v>
      </c>
    </row>
    <row r="326" spans="1:24" x14ac:dyDescent="0.25">
      <c r="A326" t="s">
        <v>673</v>
      </c>
      <c r="B326" t="s">
        <v>674</v>
      </c>
      <c r="C326" t="s">
        <v>54</v>
      </c>
      <c r="D326" t="s">
        <v>18</v>
      </c>
      <c r="E326" s="1">
        <v>45297</v>
      </c>
      <c r="F326" t="s">
        <v>19</v>
      </c>
      <c r="G326">
        <v>5480</v>
      </c>
      <c r="H326">
        <v>5300</v>
      </c>
      <c r="I326">
        <v>3.52</v>
      </c>
      <c r="J326">
        <v>111</v>
      </c>
      <c r="M326" t="str">
        <f t="shared" ca="1" si="20"/>
        <v/>
      </c>
      <c r="N326" s="3" t="str" cm="1">
        <f t="array" ref="N326">_xlfn.IFS(I326&gt;=3.5,"Excellent",I326&gt;=3,"Good",I326&gt;=2,"Average",I326&lt;2,"Poor")</f>
        <v>Excellent</v>
      </c>
      <c r="P326" t="str">
        <f t="shared" si="21"/>
        <v>True</v>
      </c>
      <c r="Q326">
        <f t="shared" si="22"/>
        <v>629311</v>
      </c>
      <c r="R326">
        <v>2024</v>
      </c>
      <c r="X326">
        <f t="shared" ca="1" si="23"/>
        <v>552</v>
      </c>
    </row>
    <row r="327" spans="1:24" x14ac:dyDescent="0.25">
      <c r="A327" t="s">
        <v>675</v>
      </c>
      <c r="B327" t="s">
        <v>676</v>
      </c>
      <c r="C327" t="s">
        <v>22</v>
      </c>
      <c r="D327" t="s">
        <v>62</v>
      </c>
      <c r="E327" s="1">
        <v>45378</v>
      </c>
      <c r="F327" t="s">
        <v>14</v>
      </c>
      <c r="G327">
        <v>12926</v>
      </c>
      <c r="H327">
        <v>1253</v>
      </c>
      <c r="I327">
        <v>3.62</v>
      </c>
      <c r="J327">
        <v>13</v>
      </c>
      <c r="M327">
        <f t="shared" ca="1" si="20"/>
        <v>471</v>
      </c>
      <c r="N327" s="3" t="str" cm="1">
        <f t="array" ref="N327">_xlfn.IFS(I327&gt;=3.5,"Excellent",I327&gt;=3,"Good",I327&gt;=2,"Average",I327&lt;2,"Poor")</f>
        <v>Excellent</v>
      </c>
      <c r="P327" t="str">
        <f t="shared" si="21"/>
        <v/>
      </c>
      <c r="Q327">
        <f t="shared" si="22"/>
        <v>623831</v>
      </c>
      <c r="R327">
        <v>2024</v>
      </c>
      <c r="X327" t="str">
        <f t="shared" ca="1" si="23"/>
        <v/>
      </c>
    </row>
    <row r="328" spans="1:24" x14ac:dyDescent="0.25">
      <c r="A328" t="s">
        <v>677</v>
      </c>
      <c r="B328" t="s">
        <v>678</v>
      </c>
      <c r="C328" t="s">
        <v>12</v>
      </c>
      <c r="D328" t="s">
        <v>13</v>
      </c>
      <c r="E328" s="1">
        <v>45430</v>
      </c>
      <c r="F328" t="s">
        <v>39</v>
      </c>
      <c r="G328">
        <v>11564</v>
      </c>
      <c r="H328">
        <v>2120</v>
      </c>
      <c r="I328">
        <v>2.13</v>
      </c>
      <c r="J328">
        <v>68</v>
      </c>
      <c r="M328" t="str">
        <f t="shared" ca="1" si="20"/>
        <v/>
      </c>
      <c r="N328" s="3" t="str" cm="1">
        <f t="array" ref="N328">_xlfn.IFS(I328&gt;=3.5,"Excellent",I328&gt;=3,"Good",I328&gt;=2,"Average",I328&lt;2,"Poor")</f>
        <v>Average</v>
      </c>
      <c r="P328" t="str">
        <f t="shared" si="21"/>
        <v/>
      </c>
      <c r="Q328">
        <f t="shared" si="22"/>
        <v>623831</v>
      </c>
      <c r="R328">
        <v>2024</v>
      </c>
      <c r="X328" t="str">
        <f t="shared" ca="1" si="23"/>
        <v/>
      </c>
    </row>
    <row r="329" spans="1:24" x14ac:dyDescent="0.25">
      <c r="A329" t="s">
        <v>679</v>
      </c>
      <c r="B329" t="s">
        <v>680</v>
      </c>
      <c r="C329" t="s">
        <v>54</v>
      </c>
      <c r="D329" t="s">
        <v>62</v>
      </c>
      <c r="E329" s="1">
        <v>44659</v>
      </c>
      <c r="F329" t="s">
        <v>14</v>
      </c>
      <c r="G329">
        <v>8396</v>
      </c>
      <c r="H329">
        <v>5614</v>
      </c>
      <c r="I329">
        <v>3.52</v>
      </c>
      <c r="J329">
        <v>8</v>
      </c>
      <c r="M329">
        <f t="shared" ca="1" si="20"/>
        <v>1190</v>
      </c>
      <c r="N329" s="3" t="str" cm="1">
        <f t="array" ref="N329">_xlfn.IFS(I329&gt;=3.5,"Excellent",I329&gt;=3,"Good",I329&gt;=2,"Average",I329&lt;2,"Poor")</f>
        <v>Excellent</v>
      </c>
      <c r="P329" t="str">
        <f t="shared" si="21"/>
        <v>True</v>
      </c>
      <c r="Q329">
        <f t="shared" si="22"/>
        <v>623831</v>
      </c>
      <c r="R329">
        <v>2022</v>
      </c>
      <c r="X329" t="str">
        <f t="shared" ca="1" si="23"/>
        <v/>
      </c>
    </row>
    <row r="330" spans="1:24" x14ac:dyDescent="0.25">
      <c r="A330" t="s">
        <v>681</v>
      </c>
      <c r="B330" t="s">
        <v>682</v>
      </c>
      <c r="C330" t="s">
        <v>54</v>
      </c>
      <c r="D330" t="s">
        <v>18</v>
      </c>
      <c r="E330" s="1">
        <v>44969</v>
      </c>
      <c r="F330" t="s">
        <v>14</v>
      </c>
      <c r="G330">
        <v>10998</v>
      </c>
      <c r="H330">
        <v>3502</v>
      </c>
      <c r="I330">
        <v>2.02</v>
      </c>
      <c r="J330">
        <v>113</v>
      </c>
      <c r="M330">
        <f t="shared" ca="1" si="20"/>
        <v>880</v>
      </c>
      <c r="N330" s="3" t="str" cm="1">
        <f t="array" ref="N330">_xlfn.IFS(I330&gt;=3.5,"Excellent",I330&gt;=3,"Good",I330&gt;=2,"Average",I330&lt;2,"Poor")</f>
        <v>Average</v>
      </c>
      <c r="P330" t="str">
        <f t="shared" si="21"/>
        <v/>
      </c>
      <c r="Q330">
        <f t="shared" si="22"/>
        <v>623831</v>
      </c>
      <c r="R330">
        <v>2023</v>
      </c>
      <c r="X330" t="str">
        <f t="shared" ca="1" si="23"/>
        <v/>
      </c>
    </row>
    <row r="331" spans="1:24" x14ac:dyDescent="0.25">
      <c r="A331" t="s">
        <v>683</v>
      </c>
      <c r="B331" t="s">
        <v>684</v>
      </c>
      <c r="C331" t="s">
        <v>28</v>
      </c>
      <c r="D331" t="s">
        <v>31</v>
      </c>
      <c r="E331" s="1">
        <v>44578</v>
      </c>
      <c r="F331" t="s">
        <v>14</v>
      </c>
      <c r="G331">
        <v>8399</v>
      </c>
      <c r="H331">
        <v>1597</v>
      </c>
      <c r="I331">
        <v>2.92</v>
      </c>
      <c r="J331">
        <v>54</v>
      </c>
      <c r="M331">
        <f t="shared" ca="1" si="20"/>
        <v>1271</v>
      </c>
      <c r="N331" s="3" t="str" cm="1">
        <f t="array" ref="N331">_xlfn.IFS(I331&gt;=3.5,"Excellent",I331&gt;=3,"Good",I331&gt;=2,"Average",I331&lt;2,"Poor")</f>
        <v>Average</v>
      </c>
      <c r="P331" t="str">
        <f t="shared" si="21"/>
        <v/>
      </c>
      <c r="Q331">
        <f t="shared" si="22"/>
        <v>623831</v>
      </c>
      <c r="R331">
        <v>2022</v>
      </c>
      <c r="X331" t="str">
        <f t="shared" ca="1" si="23"/>
        <v/>
      </c>
    </row>
    <row r="332" spans="1:24" x14ac:dyDescent="0.25">
      <c r="A332" t="s">
        <v>685</v>
      </c>
      <c r="B332" t="s">
        <v>686</v>
      </c>
      <c r="C332" t="s">
        <v>57</v>
      </c>
      <c r="D332" t="s">
        <v>31</v>
      </c>
      <c r="E332" s="1">
        <v>44640</v>
      </c>
      <c r="F332" t="s">
        <v>14</v>
      </c>
      <c r="G332">
        <v>14659</v>
      </c>
      <c r="H332">
        <v>4249</v>
      </c>
      <c r="I332">
        <v>3.9</v>
      </c>
      <c r="J332">
        <v>4</v>
      </c>
      <c r="M332">
        <f t="shared" ca="1" si="20"/>
        <v>1209</v>
      </c>
      <c r="N332" s="3" t="str" cm="1">
        <f t="array" ref="N332">_xlfn.IFS(I332&gt;=3.5,"Excellent",I332&gt;=3,"Good",I332&gt;=2,"Average",I332&lt;2,"Poor")</f>
        <v>Excellent</v>
      </c>
      <c r="P332" t="str">
        <f t="shared" si="21"/>
        <v/>
      </c>
      <c r="Q332">
        <f t="shared" si="22"/>
        <v>623831</v>
      </c>
      <c r="R332">
        <v>2022</v>
      </c>
      <c r="X332" t="str">
        <f t="shared" ca="1" si="23"/>
        <v/>
      </c>
    </row>
    <row r="333" spans="1:24" x14ac:dyDescent="0.25">
      <c r="A333" t="s">
        <v>687</v>
      </c>
      <c r="B333" t="s">
        <v>688</v>
      </c>
      <c r="C333" t="s">
        <v>17</v>
      </c>
      <c r="D333" t="s">
        <v>18</v>
      </c>
      <c r="E333" s="1">
        <v>45132</v>
      </c>
      <c r="F333" t="s">
        <v>19</v>
      </c>
      <c r="G333">
        <v>11038</v>
      </c>
      <c r="H333">
        <v>590</v>
      </c>
      <c r="I333">
        <v>2.02</v>
      </c>
      <c r="J333">
        <v>16</v>
      </c>
      <c r="M333" t="str">
        <f t="shared" ca="1" si="20"/>
        <v/>
      </c>
      <c r="N333" s="3" t="str" cm="1">
        <f t="array" ref="N333">_xlfn.IFS(I333&gt;=3.5,"Excellent",I333&gt;=3,"Good",I333&gt;=2,"Average",I333&lt;2,"Poor")</f>
        <v>Average</v>
      </c>
      <c r="P333" t="str">
        <f t="shared" si="21"/>
        <v/>
      </c>
      <c r="Q333">
        <f t="shared" si="22"/>
        <v>623831</v>
      </c>
      <c r="R333">
        <v>2023</v>
      </c>
      <c r="X333">
        <f t="shared" ca="1" si="23"/>
        <v>717</v>
      </c>
    </row>
    <row r="334" spans="1:24" x14ac:dyDescent="0.25">
      <c r="A334" t="s">
        <v>689</v>
      </c>
      <c r="B334" t="s">
        <v>690</v>
      </c>
      <c r="C334" t="s">
        <v>12</v>
      </c>
      <c r="D334" t="s">
        <v>13</v>
      </c>
      <c r="E334" s="1">
        <v>45075</v>
      </c>
      <c r="F334" t="s">
        <v>19</v>
      </c>
      <c r="G334">
        <v>3155</v>
      </c>
      <c r="H334">
        <v>1309</v>
      </c>
      <c r="I334">
        <v>2.13</v>
      </c>
      <c r="J334">
        <v>60</v>
      </c>
      <c r="M334" t="str">
        <f t="shared" ca="1" si="20"/>
        <v/>
      </c>
      <c r="N334" s="3" t="str" cm="1">
        <f t="array" ref="N334">_xlfn.IFS(I334&gt;=3.5,"Excellent",I334&gt;=3,"Good",I334&gt;=2,"Average",I334&lt;2,"Poor")</f>
        <v>Average</v>
      </c>
      <c r="P334" t="str">
        <f t="shared" si="21"/>
        <v/>
      </c>
      <c r="Q334">
        <f t="shared" si="22"/>
        <v>612793</v>
      </c>
      <c r="R334">
        <v>2023</v>
      </c>
      <c r="X334">
        <f t="shared" ca="1" si="23"/>
        <v>774</v>
      </c>
    </row>
    <row r="335" spans="1:24" x14ac:dyDescent="0.25">
      <c r="A335" t="s">
        <v>691</v>
      </c>
      <c r="B335" t="s">
        <v>692</v>
      </c>
      <c r="C335" t="s">
        <v>57</v>
      </c>
      <c r="D335" t="s">
        <v>13</v>
      </c>
      <c r="E335" s="1">
        <v>44975</v>
      </c>
      <c r="F335" t="s">
        <v>14</v>
      </c>
      <c r="G335">
        <v>9857</v>
      </c>
      <c r="H335">
        <v>5580</v>
      </c>
      <c r="I335">
        <v>2.76</v>
      </c>
      <c r="J335">
        <v>6</v>
      </c>
      <c r="M335">
        <f t="shared" ca="1" si="20"/>
        <v>874</v>
      </c>
      <c r="N335" s="3" t="str" cm="1">
        <f t="array" ref="N335">_xlfn.IFS(I335&gt;=3.5,"Excellent",I335&gt;=3,"Good",I335&gt;=2,"Average",I335&lt;2,"Poor")</f>
        <v>Average</v>
      </c>
      <c r="P335" t="str">
        <f t="shared" si="21"/>
        <v>True</v>
      </c>
      <c r="Q335">
        <f t="shared" si="22"/>
        <v>612793</v>
      </c>
      <c r="R335">
        <v>2023</v>
      </c>
      <c r="X335" t="str">
        <f t="shared" ca="1" si="23"/>
        <v/>
      </c>
    </row>
    <row r="336" spans="1:24" x14ac:dyDescent="0.25">
      <c r="A336" t="s">
        <v>693</v>
      </c>
      <c r="B336" t="s">
        <v>694</v>
      </c>
      <c r="C336" t="s">
        <v>28</v>
      </c>
      <c r="D336" t="s">
        <v>62</v>
      </c>
      <c r="E336" s="1">
        <v>44607</v>
      </c>
      <c r="F336" t="s">
        <v>14</v>
      </c>
      <c r="G336">
        <v>3419</v>
      </c>
      <c r="H336">
        <v>7990</v>
      </c>
      <c r="I336">
        <v>3.98</v>
      </c>
      <c r="J336">
        <v>57</v>
      </c>
      <c r="M336">
        <f t="shared" ca="1" si="20"/>
        <v>1242</v>
      </c>
      <c r="N336" s="3" t="str" cm="1">
        <f t="array" ref="N336">_xlfn.IFS(I336&gt;=3.5,"Excellent",I336&gt;=3,"Good",I336&gt;=2,"Average",I336&lt;2,"Poor")</f>
        <v>Excellent</v>
      </c>
      <c r="P336" t="str">
        <f t="shared" si="21"/>
        <v>True</v>
      </c>
      <c r="Q336">
        <f t="shared" si="22"/>
        <v>612793</v>
      </c>
      <c r="R336">
        <v>2022</v>
      </c>
      <c r="X336" t="str">
        <f t="shared" ca="1" si="23"/>
        <v/>
      </c>
    </row>
    <row r="337" spans="1:24" x14ac:dyDescent="0.25">
      <c r="A337" t="s">
        <v>695</v>
      </c>
      <c r="B337" t="s">
        <v>696</v>
      </c>
      <c r="C337" t="s">
        <v>22</v>
      </c>
      <c r="D337" t="s">
        <v>18</v>
      </c>
      <c r="E337" s="1">
        <v>44837</v>
      </c>
      <c r="F337" t="s">
        <v>14</v>
      </c>
      <c r="G337">
        <v>10227</v>
      </c>
      <c r="H337">
        <v>8244</v>
      </c>
      <c r="I337">
        <v>2.46</v>
      </c>
      <c r="J337">
        <v>40</v>
      </c>
      <c r="M337">
        <f t="shared" ca="1" si="20"/>
        <v>1012</v>
      </c>
      <c r="N337" s="3" t="str" cm="1">
        <f t="array" ref="N337">_xlfn.IFS(I337&gt;=3.5,"Excellent",I337&gt;=3,"Good",I337&gt;=2,"Average",I337&lt;2,"Poor")</f>
        <v>Average</v>
      </c>
      <c r="P337" t="str">
        <f t="shared" si="21"/>
        <v>True</v>
      </c>
      <c r="Q337">
        <f t="shared" si="22"/>
        <v>612793</v>
      </c>
      <c r="R337">
        <v>2022</v>
      </c>
      <c r="X337" t="str">
        <f t="shared" ca="1" si="23"/>
        <v/>
      </c>
    </row>
    <row r="338" spans="1:24" x14ac:dyDescent="0.25">
      <c r="A338" t="s">
        <v>697</v>
      </c>
      <c r="B338" t="s">
        <v>698</v>
      </c>
      <c r="C338" t="s">
        <v>57</v>
      </c>
      <c r="D338" t="s">
        <v>62</v>
      </c>
      <c r="E338" s="1">
        <v>45269</v>
      </c>
      <c r="F338" t="s">
        <v>14</v>
      </c>
      <c r="G338">
        <v>5425</v>
      </c>
      <c r="H338">
        <v>8837</v>
      </c>
      <c r="I338">
        <v>2.46</v>
      </c>
      <c r="J338">
        <v>17</v>
      </c>
      <c r="M338">
        <f t="shared" ca="1" si="20"/>
        <v>580</v>
      </c>
      <c r="N338" s="3" t="str" cm="1">
        <f t="array" ref="N338">_xlfn.IFS(I338&gt;=3.5,"Excellent",I338&gt;=3,"Good",I338&gt;=2,"Average",I338&lt;2,"Poor")</f>
        <v>Average</v>
      </c>
      <c r="P338" t="str">
        <f t="shared" si="21"/>
        <v>True</v>
      </c>
      <c r="Q338">
        <f t="shared" si="22"/>
        <v>612793</v>
      </c>
      <c r="R338">
        <v>2023</v>
      </c>
      <c r="X338" t="str">
        <f t="shared" ca="1" si="23"/>
        <v/>
      </c>
    </row>
    <row r="339" spans="1:24" x14ac:dyDescent="0.25">
      <c r="A339" t="s">
        <v>699</v>
      </c>
      <c r="B339" t="s">
        <v>700</v>
      </c>
      <c r="C339" t="s">
        <v>12</v>
      </c>
      <c r="D339" t="s">
        <v>18</v>
      </c>
      <c r="E339" s="1">
        <v>45306</v>
      </c>
      <c r="F339" t="s">
        <v>14</v>
      </c>
      <c r="G339">
        <v>3010</v>
      </c>
      <c r="H339">
        <v>3613</v>
      </c>
      <c r="I339">
        <v>3.27</v>
      </c>
      <c r="J339">
        <v>9</v>
      </c>
      <c r="M339">
        <f t="shared" ca="1" si="20"/>
        <v>543</v>
      </c>
      <c r="N339" s="3" t="str" cm="1">
        <f t="array" ref="N339">_xlfn.IFS(I339&gt;=3.5,"Excellent",I339&gt;=3,"Good",I339&gt;=2,"Average",I339&lt;2,"Poor")</f>
        <v>Good</v>
      </c>
      <c r="P339" t="str">
        <f t="shared" si="21"/>
        <v>True</v>
      </c>
      <c r="Q339">
        <f t="shared" si="22"/>
        <v>612793</v>
      </c>
      <c r="R339">
        <v>2024</v>
      </c>
      <c r="X339" t="str">
        <f t="shared" ca="1" si="23"/>
        <v/>
      </c>
    </row>
    <row r="340" spans="1:24" x14ac:dyDescent="0.25">
      <c r="A340" t="s">
        <v>701</v>
      </c>
      <c r="B340" t="s">
        <v>702</v>
      </c>
      <c r="C340" t="s">
        <v>57</v>
      </c>
      <c r="D340" t="s">
        <v>31</v>
      </c>
      <c r="E340" s="1">
        <v>44854</v>
      </c>
      <c r="F340" t="s">
        <v>14</v>
      </c>
      <c r="G340">
        <v>8290</v>
      </c>
      <c r="H340">
        <v>4182</v>
      </c>
      <c r="I340">
        <v>2.71</v>
      </c>
      <c r="J340">
        <v>72</v>
      </c>
      <c r="M340">
        <f t="shared" ca="1" si="20"/>
        <v>995</v>
      </c>
      <c r="N340" s="3" t="str" cm="1">
        <f t="array" ref="N340">_xlfn.IFS(I340&gt;=3.5,"Excellent",I340&gt;=3,"Good",I340&gt;=2,"Average",I340&lt;2,"Poor")</f>
        <v>Average</v>
      </c>
      <c r="P340" t="str">
        <f t="shared" si="21"/>
        <v>True</v>
      </c>
      <c r="Q340">
        <f t="shared" si="22"/>
        <v>612793</v>
      </c>
      <c r="R340">
        <v>2022</v>
      </c>
      <c r="X340" t="str">
        <f t="shared" ca="1" si="23"/>
        <v/>
      </c>
    </row>
    <row r="341" spans="1:24" x14ac:dyDescent="0.25">
      <c r="A341" t="s">
        <v>703</v>
      </c>
      <c r="B341" t="s">
        <v>704</v>
      </c>
      <c r="C341" t="s">
        <v>36</v>
      </c>
      <c r="D341" t="s">
        <v>62</v>
      </c>
      <c r="E341" s="1">
        <v>45062</v>
      </c>
      <c r="F341" t="s">
        <v>14</v>
      </c>
      <c r="G341">
        <v>3151</v>
      </c>
      <c r="H341">
        <v>2504</v>
      </c>
      <c r="I341">
        <v>2.38</v>
      </c>
      <c r="J341">
        <v>51</v>
      </c>
      <c r="M341">
        <f t="shared" ca="1" si="20"/>
        <v>787</v>
      </c>
      <c r="N341" s="3" t="str" cm="1">
        <f t="array" ref="N341">_xlfn.IFS(I341&gt;=3.5,"Excellent",I341&gt;=3,"Good",I341&gt;=2,"Average",I341&lt;2,"Poor")</f>
        <v>Average</v>
      </c>
      <c r="P341" t="str">
        <f t="shared" si="21"/>
        <v>True</v>
      </c>
      <c r="Q341">
        <f t="shared" si="22"/>
        <v>612793</v>
      </c>
      <c r="R341">
        <v>2023</v>
      </c>
      <c r="X341" t="str">
        <f t="shared" ca="1" si="23"/>
        <v/>
      </c>
    </row>
    <row r="342" spans="1:24" x14ac:dyDescent="0.25">
      <c r="A342" t="s">
        <v>705</v>
      </c>
      <c r="B342" t="s">
        <v>706</v>
      </c>
      <c r="C342" t="s">
        <v>17</v>
      </c>
      <c r="D342" t="s">
        <v>13</v>
      </c>
      <c r="E342" s="1">
        <v>45043</v>
      </c>
      <c r="F342" t="s">
        <v>14</v>
      </c>
      <c r="G342">
        <v>3317</v>
      </c>
      <c r="H342">
        <v>5701</v>
      </c>
      <c r="I342">
        <v>2.08</v>
      </c>
      <c r="J342">
        <v>85</v>
      </c>
      <c r="M342">
        <f t="shared" ca="1" si="20"/>
        <v>806</v>
      </c>
      <c r="N342" s="3" t="str" cm="1">
        <f t="array" ref="N342">_xlfn.IFS(I342&gt;=3.5,"Excellent",I342&gt;=3,"Good",I342&gt;=2,"Average",I342&lt;2,"Poor")</f>
        <v>Average</v>
      </c>
      <c r="P342" t="str">
        <f t="shared" si="21"/>
        <v>True</v>
      </c>
      <c r="Q342">
        <f t="shared" si="22"/>
        <v>612793</v>
      </c>
      <c r="R342">
        <v>2023</v>
      </c>
      <c r="X342" t="str">
        <f t="shared" ca="1" si="23"/>
        <v/>
      </c>
    </row>
    <row r="343" spans="1:24" x14ac:dyDescent="0.25">
      <c r="A343" t="s">
        <v>707</v>
      </c>
      <c r="B343" t="s">
        <v>708</v>
      </c>
      <c r="C343" t="s">
        <v>28</v>
      </c>
      <c r="D343" t="s">
        <v>62</v>
      </c>
      <c r="E343" s="1">
        <v>44611</v>
      </c>
      <c r="F343" t="s">
        <v>14</v>
      </c>
      <c r="G343">
        <v>4447</v>
      </c>
      <c r="H343">
        <v>1972</v>
      </c>
      <c r="I343">
        <v>3.43</v>
      </c>
      <c r="J343">
        <v>67</v>
      </c>
      <c r="M343">
        <f t="shared" ca="1" si="20"/>
        <v>1238</v>
      </c>
      <c r="N343" s="3" t="str" cm="1">
        <f t="array" ref="N343">_xlfn.IFS(I343&gt;=3.5,"Excellent",I343&gt;=3,"Good",I343&gt;=2,"Average",I343&lt;2,"Poor")</f>
        <v>Good</v>
      </c>
      <c r="P343" t="str">
        <f t="shared" si="21"/>
        <v/>
      </c>
      <c r="Q343">
        <f t="shared" si="22"/>
        <v>612793</v>
      </c>
      <c r="R343">
        <v>2022</v>
      </c>
      <c r="X343" t="str">
        <f t="shared" ca="1" si="23"/>
        <v/>
      </c>
    </row>
    <row r="344" spans="1:24" x14ac:dyDescent="0.25">
      <c r="A344" t="s">
        <v>709</v>
      </c>
      <c r="B344" t="s">
        <v>710</v>
      </c>
      <c r="C344" t="s">
        <v>25</v>
      </c>
      <c r="D344" t="s">
        <v>18</v>
      </c>
      <c r="E344" s="1">
        <v>45321</v>
      </c>
      <c r="F344" t="s">
        <v>14</v>
      </c>
      <c r="G344">
        <v>4390</v>
      </c>
      <c r="H344">
        <v>9450</v>
      </c>
      <c r="I344">
        <v>3.04</v>
      </c>
      <c r="J344">
        <v>119</v>
      </c>
      <c r="M344">
        <f t="shared" ca="1" si="20"/>
        <v>528</v>
      </c>
      <c r="N344" s="3" t="str" cm="1">
        <f t="array" ref="N344">_xlfn.IFS(I344&gt;=3.5,"Excellent",I344&gt;=3,"Good",I344&gt;=2,"Average",I344&lt;2,"Poor")</f>
        <v>Good</v>
      </c>
      <c r="P344" t="str">
        <f t="shared" si="21"/>
        <v>True</v>
      </c>
      <c r="Q344">
        <f t="shared" si="22"/>
        <v>612793</v>
      </c>
      <c r="R344">
        <v>2024</v>
      </c>
      <c r="X344" t="str">
        <f t="shared" ca="1" si="23"/>
        <v/>
      </c>
    </row>
    <row r="345" spans="1:24" x14ac:dyDescent="0.25">
      <c r="A345" t="s">
        <v>711</v>
      </c>
      <c r="B345" t="s">
        <v>712</v>
      </c>
      <c r="C345" t="s">
        <v>17</v>
      </c>
      <c r="D345" t="s">
        <v>18</v>
      </c>
      <c r="E345" s="1">
        <v>44945</v>
      </c>
      <c r="F345" t="s">
        <v>14</v>
      </c>
      <c r="G345">
        <v>12226</v>
      </c>
      <c r="H345">
        <v>5785</v>
      </c>
      <c r="I345">
        <v>3.48</v>
      </c>
      <c r="J345">
        <v>46</v>
      </c>
      <c r="M345">
        <f t="shared" ca="1" si="20"/>
        <v>904</v>
      </c>
      <c r="N345" s="3" t="str" cm="1">
        <f t="array" ref="N345">_xlfn.IFS(I345&gt;=3.5,"Excellent",I345&gt;=3,"Good",I345&gt;=2,"Average",I345&lt;2,"Poor")</f>
        <v>Good</v>
      </c>
      <c r="P345" t="str">
        <f t="shared" si="21"/>
        <v/>
      </c>
      <c r="Q345">
        <f t="shared" si="22"/>
        <v>612793</v>
      </c>
      <c r="R345">
        <v>2023</v>
      </c>
      <c r="X345" t="str">
        <f t="shared" ca="1" si="23"/>
        <v/>
      </c>
    </row>
    <row r="346" spans="1:24" x14ac:dyDescent="0.25">
      <c r="A346" t="s">
        <v>713</v>
      </c>
      <c r="B346" t="s">
        <v>714</v>
      </c>
      <c r="C346" t="s">
        <v>57</v>
      </c>
      <c r="D346" t="s">
        <v>13</v>
      </c>
      <c r="E346" s="1">
        <v>45460</v>
      </c>
      <c r="F346" t="s">
        <v>14</v>
      </c>
      <c r="G346">
        <v>10765</v>
      </c>
      <c r="H346">
        <v>3730</v>
      </c>
      <c r="I346">
        <v>3.18</v>
      </c>
      <c r="J346">
        <v>109</v>
      </c>
      <c r="M346">
        <f t="shared" ca="1" si="20"/>
        <v>389</v>
      </c>
      <c r="N346" s="3" t="str" cm="1">
        <f t="array" ref="N346">_xlfn.IFS(I346&gt;=3.5,"Excellent",I346&gt;=3,"Good",I346&gt;=2,"Average",I346&lt;2,"Poor")</f>
        <v>Good</v>
      </c>
      <c r="P346" t="str">
        <f t="shared" si="21"/>
        <v/>
      </c>
      <c r="Q346">
        <f t="shared" si="22"/>
        <v>612793</v>
      </c>
      <c r="R346">
        <v>2024</v>
      </c>
      <c r="X346" t="str">
        <f t="shared" ca="1" si="23"/>
        <v/>
      </c>
    </row>
    <row r="347" spans="1:24" x14ac:dyDescent="0.25">
      <c r="A347" t="s">
        <v>715</v>
      </c>
      <c r="B347" t="s">
        <v>716</v>
      </c>
      <c r="C347" t="s">
        <v>17</v>
      </c>
      <c r="D347" t="s">
        <v>62</v>
      </c>
      <c r="E347" s="1">
        <v>45183</v>
      </c>
      <c r="F347" t="s">
        <v>14</v>
      </c>
      <c r="G347">
        <v>6631</v>
      </c>
      <c r="H347">
        <v>3605</v>
      </c>
      <c r="I347">
        <v>2.15</v>
      </c>
      <c r="J347">
        <v>93</v>
      </c>
      <c r="M347">
        <f t="shared" ca="1" si="20"/>
        <v>666</v>
      </c>
      <c r="N347" s="3" t="str" cm="1">
        <f t="array" ref="N347">_xlfn.IFS(I347&gt;=3.5,"Excellent",I347&gt;=3,"Good",I347&gt;=2,"Average",I347&lt;2,"Poor")</f>
        <v>Average</v>
      </c>
      <c r="P347" t="str">
        <f t="shared" si="21"/>
        <v>True</v>
      </c>
      <c r="Q347">
        <f t="shared" si="22"/>
        <v>612793</v>
      </c>
      <c r="R347">
        <v>2023</v>
      </c>
      <c r="X347" t="str">
        <f t="shared" ca="1" si="23"/>
        <v/>
      </c>
    </row>
    <row r="348" spans="1:24" x14ac:dyDescent="0.25">
      <c r="A348" t="s">
        <v>717</v>
      </c>
      <c r="B348" t="s">
        <v>718</v>
      </c>
      <c r="C348" t="s">
        <v>28</v>
      </c>
      <c r="D348" t="s">
        <v>13</v>
      </c>
      <c r="E348" s="1">
        <v>44884</v>
      </c>
      <c r="F348" t="s">
        <v>14</v>
      </c>
      <c r="G348">
        <v>12250</v>
      </c>
      <c r="H348">
        <v>373</v>
      </c>
      <c r="I348">
        <v>3.37</v>
      </c>
      <c r="J348">
        <v>23</v>
      </c>
      <c r="M348">
        <f t="shared" ca="1" si="20"/>
        <v>965</v>
      </c>
      <c r="N348" s="3" t="str" cm="1">
        <f t="array" ref="N348">_xlfn.IFS(I348&gt;=3.5,"Excellent",I348&gt;=3,"Good",I348&gt;=2,"Average",I348&lt;2,"Poor")</f>
        <v>Good</v>
      </c>
      <c r="P348" t="str">
        <f t="shared" si="21"/>
        <v/>
      </c>
      <c r="Q348">
        <f t="shared" si="22"/>
        <v>612793</v>
      </c>
      <c r="R348">
        <v>2022</v>
      </c>
      <c r="X348" t="str">
        <f t="shared" ca="1" si="23"/>
        <v/>
      </c>
    </row>
    <row r="349" spans="1:24" x14ac:dyDescent="0.25">
      <c r="A349" t="s">
        <v>719</v>
      </c>
      <c r="B349" t="s">
        <v>720</v>
      </c>
      <c r="C349" t="s">
        <v>12</v>
      </c>
      <c r="D349" t="s">
        <v>13</v>
      </c>
      <c r="E349" s="1">
        <v>44641</v>
      </c>
      <c r="F349" t="s">
        <v>14</v>
      </c>
      <c r="G349">
        <v>8028</v>
      </c>
      <c r="H349">
        <v>5955</v>
      </c>
      <c r="I349">
        <v>2.81</v>
      </c>
      <c r="J349">
        <v>4</v>
      </c>
      <c r="M349">
        <f t="shared" ca="1" si="20"/>
        <v>1208</v>
      </c>
      <c r="N349" s="3" t="str" cm="1">
        <f t="array" ref="N349">_xlfn.IFS(I349&gt;=3.5,"Excellent",I349&gt;=3,"Good",I349&gt;=2,"Average",I349&lt;2,"Poor")</f>
        <v>Average</v>
      </c>
      <c r="P349" t="str">
        <f t="shared" si="21"/>
        <v>True</v>
      </c>
      <c r="Q349">
        <f t="shared" si="22"/>
        <v>612793</v>
      </c>
      <c r="R349">
        <v>2022</v>
      </c>
      <c r="X349" t="str">
        <f t="shared" ca="1" si="23"/>
        <v/>
      </c>
    </row>
    <row r="350" spans="1:24" x14ac:dyDescent="0.25">
      <c r="A350" t="s">
        <v>721</v>
      </c>
      <c r="B350" t="s">
        <v>722</v>
      </c>
      <c r="C350" t="s">
        <v>12</v>
      </c>
      <c r="D350" t="s">
        <v>62</v>
      </c>
      <c r="E350" s="1">
        <v>45316</v>
      </c>
      <c r="F350" t="s">
        <v>19</v>
      </c>
      <c r="G350">
        <v>4948</v>
      </c>
      <c r="H350">
        <v>3342</v>
      </c>
      <c r="I350">
        <v>3.08</v>
      </c>
      <c r="J350">
        <v>119</v>
      </c>
      <c r="M350" t="str">
        <f t="shared" ca="1" si="20"/>
        <v/>
      </c>
      <c r="N350" s="3" t="str" cm="1">
        <f t="array" ref="N350">_xlfn.IFS(I350&gt;=3.5,"Excellent",I350&gt;=3,"Good",I350&gt;=2,"Average",I350&lt;2,"Poor")</f>
        <v>Good</v>
      </c>
      <c r="P350" t="str">
        <f t="shared" si="21"/>
        <v>True</v>
      </c>
      <c r="Q350">
        <f t="shared" si="22"/>
        <v>612793</v>
      </c>
      <c r="R350">
        <v>2024</v>
      </c>
      <c r="X350">
        <f t="shared" ca="1" si="23"/>
        <v>533</v>
      </c>
    </row>
    <row r="351" spans="1:24" x14ac:dyDescent="0.25">
      <c r="A351" t="s">
        <v>723</v>
      </c>
      <c r="B351" t="s">
        <v>724</v>
      </c>
      <c r="C351" t="s">
        <v>22</v>
      </c>
      <c r="D351" t="s">
        <v>18</v>
      </c>
      <c r="E351" s="1">
        <v>45382</v>
      </c>
      <c r="F351" t="s">
        <v>14</v>
      </c>
      <c r="G351">
        <v>5751</v>
      </c>
      <c r="H351">
        <v>1819</v>
      </c>
      <c r="I351">
        <v>2.04</v>
      </c>
      <c r="J351">
        <v>58</v>
      </c>
      <c r="M351">
        <f t="shared" ca="1" si="20"/>
        <v>467</v>
      </c>
      <c r="N351" s="3" t="str" cm="1">
        <f t="array" ref="N351">_xlfn.IFS(I351&gt;=3.5,"Excellent",I351&gt;=3,"Good",I351&gt;=2,"Average",I351&lt;2,"Poor")</f>
        <v>Average</v>
      </c>
      <c r="P351" t="str">
        <f t="shared" si="21"/>
        <v/>
      </c>
      <c r="Q351">
        <f t="shared" si="22"/>
        <v>612793</v>
      </c>
      <c r="R351">
        <v>2024</v>
      </c>
      <c r="X351" t="str">
        <f t="shared" ca="1" si="23"/>
        <v/>
      </c>
    </row>
    <row r="352" spans="1:24" x14ac:dyDescent="0.25">
      <c r="A352" t="s">
        <v>725</v>
      </c>
      <c r="B352" t="s">
        <v>726</v>
      </c>
      <c r="C352" t="s">
        <v>25</v>
      </c>
      <c r="D352" t="s">
        <v>18</v>
      </c>
      <c r="E352" s="1">
        <v>44760</v>
      </c>
      <c r="F352" t="s">
        <v>39</v>
      </c>
      <c r="G352">
        <v>8271</v>
      </c>
      <c r="H352">
        <v>6443</v>
      </c>
      <c r="I352">
        <v>3.38</v>
      </c>
      <c r="J352">
        <v>101</v>
      </c>
      <c r="M352" t="str">
        <f t="shared" ca="1" si="20"/>
        <v/>
      </c>
      <c r="N352" s="3" t="str" cm="1">
        <f t="array" ref="N352">_xlfn.IFS(I352&gt;=3.5,"Excellent",I352&gt;=3,"Good",I352&gt;=2,"Average",I352&lt;2,"Poor")</f>
        <v>Good</v>
      </c>
      <c r="P352" t="str">
        <f t="shared" si="21"/>
        <v>True</v>
      </c>
      <c r="Q352">
        <f t="shared" si="22"/>
        <v>612793</v>
      </c>
      <c r="R352">
        <v>2022</v>
      </c>
      <c r="X352" t="str">
        <f t="shared" ca="1" si="23"/>
        <v/>
      </c>
    </row>
    <row r="353" spans="1:24" x14ac:dyDescent="0.25">
      <c r="A353" t="s">
        <v>727</v>
      </c>
      <c r="B353" t="s">
        <v>728</v>
      </c>
      <c r="C353" t="s">
        <v>17</v>
      </c>
      <c r="D353" t="s">
        <v>31</v>
      </c>
      <c r="E353" s="1">
        <v>45312</v>
      </c>
      <c r="F353" t="s">
        <v>14</v>
      </c>
      <c r="G353">
        <v>11568</v>
      </c>
      <c r="H353">
        <v>9456</v>
      </c>
      <c r="I353">
        <v>3.74</v>
      </c>
      <c r="J353">
        <v>104</v>
      </c>
      <c r="M353">
        <f t="shared" ca="1" si="20"/>
        <v>537</v>
      </c>
      <c r="N353" s="3" t="str" cm="1">
        <f t="array" ref="N353">_xlfn.IFS(I353&gt;=3.5,"Excellent",I353&gt;=3,"Good",I353&gt;=2,"Average",I353&lt;2,"Poor")</f>
        <v>Excellent</v>
      </c>
      <c r="P353" t="str">
        <f t="shared" si="21"/>
        <v>True</v>
      </c>
      <c r="Q353">
        <f t="shared" si="22"/>
        <v>612793</v>
      </c>
      <c r="R353">
        <v>2024</v>
      </c>
      <c r="X353" t="str">
        <f t="shared" ca="1" si="23"/>
        <v/>
      </c>
    </row>
    <row r="354" spans="1:24" x14ac:dyDescent="0.25">
      <c r="A354" t="s">
        <v>729</v>
      </c>
      <c r="B354" t="s">
        <v>730</v>
      </c>
      <c r="C354" t="s">
        <v>12</v>
      </c>
      <c r="D354" t="s">
        <v>18</v>
      </c>
      <c r="E354" s="1">
        <v>45138</v>
      </c>
      <c r="F354" t="s">
        <v>14</v>
      </c>
      <c r="G354">
        <v>10825</v>
      </c>
      <c r="H354">
        <v>9457</v>
      </c>
      <c r="I354">
        <v>3.74</v>
      </c>
      <c r="J354">
        <v>3</v>
      </c>
      <c r="M354">
        <f t="shared" ca="1" si="20"/>
        <v>711</v>
      </c>
      <c r="N354" s="3" t="str" cm="1">
        <f t="array" ref="N354">_xlfn.IFS(I354&gt;=3.5,"Excellent",I354&gt;=3,"Good",I354&gt;=2,"Average",I354&lt;2,"Poor")</f>
        <v>Excellent</v>
      </c>
      <c r="P354" t="str">
        <f t="shared" si="21"/>
        <v>True</v>
      </c>
      <c r="Q354">
        <f t="shared" si="22"/>
        <v>612793</v>
      </c>
      <c r="R354">
        <v>2023</v>
      </c>
      <c r="X354" t="str">
        <f t="shared" ca="1" si="23"/>
        <v/>
      </c>
    </row>
    <row r="355" spans="1:24" x14ac:dyDescent="0.25">
      <c r="A355" t="s">
        <v>731</v>
      </c>
      <c r="B355" t="s">
        <v>732</v>
      </c>
      <c r="C355" t="s">
        <v>54</v>
      </c>
      <c r="D355" t="s">
        <v>31</v>
      </c>
      <c r="E355" s="1">
        <v>44748</v>
      </c>
      <c r="F355" t="s">
        <v>19</v>
      </c>
      <c r="G355">
        <v>7978</v>
      </c>
      <c r="H355">
        <v>7406</v>
      </c>
      <c r="I355">
        <v>3.61</v>
      </c>
      <c r="J355">
        <v>32</v>
      </c>
      <c r="M355" t="str">
        <f t="shared" ca="1" si="20"/>
        <v/>
      </c>
      <c r="N355" s="3" t="str" cm="1">
        <f t="array" ref="N355">_xlfn.IFS(I355&gt;=3.5,"Excellent",I355&gt;=3,"Good",I355&gt;=2,"Average",I355&lt;2,"Poor")</f>
        <v>Excellent</v>
      </c>
      <c r="P355" t="str">
        <f t="shared" si="21"/>
        <v>True</v>
      </c>
      <c r="Q355">
        <f t="shared" si="22"/>
        <v>612793</v>
      </c>
      <c r="R355">
        <v>2022</v>
      </c>
      <c r="X355">
        <f t="shared" ca="1" si="23"/>
        <v>1101</v>
      </c>
    </row>
    <row r="356" spans="1:24" x14ac:dyDescent="0.25">
      <c r="A356" t="s">
        <v>733</v>
      </c>
      <c r="B356" t="s">
        <v>734</v>
      </c>
      <c r="C356" t="s">
        <v>22</v>
      </c>
      <c r="D356" t="s">
        <v>13</v>
      </c>
      <c r="E356" s="1">
        <v>44837</v>
      </c>
      <c r="F356" t="s">
        <v>19</v>
      </c>
      <c r="G356">
        <v>11708</v>
      </c>
      <c r="H356">
        <v>9853</v>
      </c>
      <c r="I356">
        <v>2.88</v>
      </c>
      <c r="J356">
        <v>49</v>
      </c>
      <c r="M356" t="str">
        <f t="shared" ca="1" si="20"/>
        <v/>
      </c>
      <c r="N356" s="3" t="str" cm="1">
        <f t="array" ref="N356">_xlfn.IFS(I356&gt;=3.5,"Excellent",I356&gt;=3,"Good",I356&gt;=2,"Average",I356&lt;2,"Poor")</f>
        <v>Average</v>
      </c>
      <c r="P356" t="str">
        <f t="shared" si="21"/>
        <v>True</v>
      </c>
      <c r="Q356">
        <f t="shared" si="22"/>
        <v>612793</v>
      </c>
      <c r="R356">
        <v>2022</v>
      </c>
      <c r="X356">
        <f t="shared" ca="1" si="23"/>
        <v>1012</v>
      </c>
    </row>
    <row r="357" spans="1:24" x14ac:dyDescent="0.25">
      <c r="A357" t="s">
        <v>735</v>
      </c>
      <c r="B357" t="s">
        <v>736</v>
      </c>
      <c r="C357" t="s">
        <v>28</v>
      </c>
      <c r="D357" t="s">
        <v>18</v>
      </c>
      <c r="E357" s="1">
        <v>44562</v>
      </c>
      <c r="F357" t="s">
        <v>14</v>
      </c>
      <c r="G357">
        <v>14323</v>
      </c>
      <c r="H357">
        <v>5656</v>
      </c>
      <c r="I357">
        <v>3.7</v>
      </c>
      <c r="J357">
        <v>48</v>
      </c>
      <c r="M357">
        <f t="shared" ca="1" si="20"/>
        <v>1287</v>
      </c>
      <c r="N357" s="3" t="str" cm="1">
        <f t="array" ref="N357">_xlfn.IFS(I357&gt;=3.5,"Excellent",I357&gt;=3,"Good",I357&gt;=2,"Average",I357&lt;2,"Poor")</f>
        <v>Excellent</v>
      </c>
      <c r="P357" t="str">
        <f t="shared" si="21"/>
        <v/>
      </c>
      <c r="Q357">
        <f t="shared" si="22"/>
        <v>612793</v>
      </c>
      <c r="R357">
        <v>2022</v>
      </c>
      <c r="X357" t="str">
        <f t="shared" ca="1" si="23"/>
        <v/>
      </c>
    </row>
    <row r="358" spans="1:24" x14ac:dyDescent="0.25">
      <c r="A358" t="s">
        <v>737</v>
      </c>
      <c r="B358" t="s">
        <v>738</v>
      </c>
      <c r="C358" t="s">
        <v>54</v>
      </c>
      <c r="D358" t="s">
        <v>13</v>
      </c>
      <c r="E358" s="1">
        <v>44939</v>
      </c>
      <c r="F358" t="s">
        <v>14</v>
      </c>
      <c r="G358">
        <v>3253</v>
      </c>
      <c r="H358">
        <v>8143</v>
      </c>
      <c r="I358">
        <v>2.79</v>
      </c>
      <c r="J358">
        <v>69</v>
      </c>
      <c r="M358">
        <f t="shared" ca="1" si="20"/>
        <v>910</v>
      </c>
      <c r="N358" s="3" t="str" cm="1">
        <f t="array" ref="N358">_xlfn.IFS(I358&gt;=3.5,"Excellent",I358&gt;=3,"Good",I358&gt;=2,"Average",I358&lt;2,"Poor")</f>
        <v>Average</v>
      </c>
      <c r="P358" t="str">
        <f t="shared" si="21"/>
        <v>True</v>
      </c>
      <c r="Q358">
        <f t="shared" si="22"/>
        <v>612793</v>
      </c>
      <c r="R358">
        <v>2023</v>
      </c>
      <c r="X358" t="str">
        <f t="shared" ca="1" si="23"/>
        <v/>
      </c>
    </row>
    <row r="359" spans="1:24" x14ac:dyDescent="0.25">
      <c r="A359" t="s">
        <v>739</v>
      </c>
      <c r="B359" t="s">
        <v>740</v>
      </c>
      <c r="C359" t="s">
        <v>28</v>
      </c>
      <c r="D359" t="s">
        <v>62</v>
      </c>
      <c r="E359" s="1">
        <v>45168</v>
      </c>
      <c r="F359" t="s">
        <v>14</v>
      </c>
      <c r="G359">
        <v>14408</v>
      </c>
      <c r="H359">
        <v>9114</v>
      </c>
      <c r="I359">
        <v>2.0699999999999998</v>
      </c>
      <c r="J359">
        <v>74</v>
      </c>
      <c r="M359">
        <f t="shared" ca="1" si="20"/>
        <v>681</v>
      </c>
      <c r="N359" s="3" t="str" cm="1">
        <f t="array" ref="N359">_xlfn.IFS(I359&gt;=3.5,"Excellent",I359&gt;=3,"Good",I359&gt;=2,"Average",I359&lt;2,"Poor")</f>
        <v>Average</v>
      </c>
      <c r="P359" t="str">
        <f t="shared" si="21"/>
        <v>True</v>
      </c>
      <c r="Q359">
        <f t="shared" si="22"/>
        <v>612793</v>
      </c>
      <c r="R359">
        <v>2023</v>
      </c>
      <c r="X359" t="str">
        <f t="shared" ca="1" si="23"/>
        <v/>
      </c>
    </row>
    <row r="360" spans="1:24" x14ac:dyDescent="0.25">
      <c r="A360" t="s">
        <v>741</v>
      </c>
      <c r="B360" t="s">
        <v>742</v>
      </c>
      <c r="C360" t="s">
        <v>57</v>
      </c>
      <c r="D360" t="s">
        <v>13</v>
      </c>
      <c r="E360" s="1">
        <v>44860</v>
      </c>
      <c r="F360" t="s">
        <v>14</v>
      </c>
      <c r="G360">
        <v>9948</v>
      </c>
      <c r="H360">
        <v>840</v>
      </c>
      <c r="I360">
        <v>2.4500000000000002</v>
      </c>
      <c r="J360">
        <v>9</v>
      </c>
      <c r="M360">
        <f t="shared" ca="1" si="20"/>
        <v>989</v>
      </c>
      <c r="N360" s="3" t="str" cm="1">
        <f t="array" ref="N360">_xlfn.IFS(I360&gt;=3.5,"Excellent",I360&gt;=3,"Good",I360&gt;=2,"Average",I360&lt;2,"Poor")</f>
        <v>Average</v>
      </c>
      <c r="P360" t="str">
        <f t="shared" si="21"/>
        <v/>
      </c>
      <c r="Q360">
        <f t="shared" si="22"/>
        <v>612793</v>
      </c>
      <c r="R360">
        <v>2022</v>
      </c>
      <c r="X360" t="str">
        <f t="shared" ca="1" si="23"/>
        <v/>
      </c>
    </row>
    <row r="361" spans="1:24" x14ac:dyDescent="0.25">
      <c r="A361" t="s">
        <v>743</v>
      </c>
      <c r="B361" t="s">
        <v>744</v>
      </c>
      <c r="C361" t="s">
        <v>54</v>
      </c>
      <c r="D361" t="s">
        <v>18</v>
      </c>
      <c r="E361" s="1">
        <v>45289</v>
      </c>
      <c r="F361" t="s">
        <v>39</v>
      </c>
      <c r="G361">
        <v>8535</v>
      </c>
      <c r="H361">
        <v>678</v>
      </c>
      <c r="I361">
        <v>3.07</v>
      </c>
      <c r="J361">
        <v>28</v>
      </c>
      <c r="M361" t="str">
        <f t="shared" ca="1" si="20"/>
        <v/>
      </c>
      <c r="N361" s="3" t="str" cm="1">
        <f t="array" ref="N361">_xlfn.IFS(I361&gt;=3.5,"Excellent",I361&gt;=3,"Good",I361&gt;=2,"Average",I361&lt;2,"Poor")</f>
        <v>Good</v>
      </c>
      <c r="P361" t="str">
        <f t="shared" si="21"/>
        <v/>
      </c>
      <c r="Q361">
        <f t="shared" si="22"/>
        <v>612793</v>
      </c>
      <c r="R361">
        <v>2023</v>
      </c>
      <c r="X361" t="str">
        <f t="shared" ca="1" si="23"/>
        <v/>
      </c>
    </row>
    <row r="362" spans="1:24" x14ac:dyDescent="0.25">
      <c r="A362" t="s">
        <v>745</v>
      </c>
      <c r="B362" t="s">
        <v>746</v>
      </c>
      <c r="C362" t="s">
        <v>28</v>
      </c>
      <c r="D362" t="s">
        <v>31</v>
      </c>
      <c r="E362" s="1">
        <v>44729</v>
      </c>
      <c r="F362" t="s">
        <v>14</v>
      </c>
      <c r="G362">
        <v>3685</v>
      </c>
      <c r="H362">
        <v>36</v>
      </c>
      <c r="I362">
        <v>2.57</v>
      </c>
      <c r="J362">
        <v>5</v>
      </c>
      <c r="M362">
        <f t="shared" ca="1" si="20"/>
        <v>1120</v>
      </c>
      <c r="N362" s="3" t="str" cm="1">
        <f t="array" ref="N362">_xlfn.IFS(I362&gt;=3.5,"Excellent",I362&gt;=3,"Good",I362&gt;=2,"Average",I362&lt;2,"Poor")</f>
        <v>Average</v>
      </c>
      <c r="P362" t="str">
        <f t="shared" si="21"/>
        <v/>
      </c>
      <c r="Q362">
        <f t="shared" si="22"/>
        <v>612793</v>
      </c>
      <c r="R362">
        <v>2022</v>
      </c>
      <c r="X362" t="str">
        <f t="shared" ca="1" si="23"/>
        <v/>
      </c>
    </row>
    <row r="363" spans="1:24" x14ac:dyDescent="0.25">
      <c r="A363" t="s">
        <v>747</v>
      </c>
      <c r="B363" t="s">
        <v>748</v>
      </c>
      <c r="C363" t="s">
        <v>57</v>
      </c>
      <c r="D363" t="s">
        <v>62</v>
      </c>
      <c r="E363" s="1">
        <v>45438</v>
      </c>
      <c r="F363" t="s">
        <v>39</v>
      </c>
      <c r="G363">
        <v>13540</v>
      </c>
      <c r="H363">
        <v>3077</v>
      </c>
      <c r="I363">
        <v>3.69</v>
      </c>
      <c r="J363">
        <v>62</v>
      </c>
      <c r="M363" t="str">
        <f t="shared" ca="1" si="20"/>
        <v/>
      </c>
      <c r="N363" s="3" t="str" cm="1">
        <f t="array" ref="N363">_xlfn.IFS(I363&gt;=3.5,"Excellent",I363&gt;=3,"Good",I363&gt;=2,"Average",I363&lt;2,"Poor")</f>
        <v>Excellent</v>
      </c>
      <c r="P363" t="str">
        <f t="shared" si="21"/>
        <v/>
      </c>
      <c r="Q363">
        <f t="shared" si="22"/>
        <v>612793</v>
      </c>
      <c r="R363">
        <v>2024</v>
      </c>
      <c r="X363" t="str">
        <f t="shared" ca="1" si="23"/>
        <v/>
      </c>
    </row>
    <row r="364" spans="1:24" x14ac:dyDescent="0.25">
      <c r="A364" t="s">
        <v>749</v>
      </c>
      <c r="B364" t="s">
        <v>750</v>
      </c>
      <c r="C364" t="s">
        <v>25</v>
      </c>
      <c r="D364" t="s">
        <v>18</v>
      </c>
      <c r="E364" s="1">
        <v>45421</v>
      </c>
      <c r="F364" t="s">
        <v>19</v>
      </c>
      <c r="G364">
        <v>14073</v>
      </c>
      <c r="H364">
        <v>6320</v>
      </c>
      <c r="I364">
        <v>2.4300000000000002</v>
      </c>
      <c r="J364">
        <v>3</v>
      </c>
      <c r="M364" t="str">
        <f t="shared" ca="1" si="20"/>
        <v/>
      </c>
      <c r="N364" s="3" t="str" cm="1">
        <f t="array" ref="N364">_xlfn.IFS(I364&gt;=3.5,"Excellent",I364&gt;=3,"Good",I364&gt;=2,"Average",I364&lt;2,"Poor")</f>
        <v>Average</v>
      </c>
      <c r="P364" t="str">
        <f t="shared" si="21"/>
        <v/>
      </c>
      <c r="Q364">
        <f t="shared" si="22"/>
        <v>612793</v>
      </c>
      <c r="R364">
        <v>2024</v>
      </c>
      <c r="X364">
        <f t="shared" ca="1" si="23"/>
        <v>428</v>
      </c>
    </row>
    <row r="365" spans="1:24" x14ac:dyDescent="0.25">
      <c r="A365" t="s">
        <v>751</v>
      </c>
      <c r="B365" t="s">
        <v>752</v>
      </c>
      <c r="C365" t="s">
        <v>57</v>
      </c>
      <c r="D365" t="s">
        <v>31</v>
      </c>
      <c r="E365" s="1">
        <v>45265</v>
      </c>
      <c r="F365" t="s">
        <v>19</v>
      </c>
      <c r="G365">
        <v>6665</v>
      </c>
      <c r="H365">
        <v>2771</v>
      </c>
      <c r="I365">
        <v>3.28</v>
      </c>
      <c r="J365">
        <v>66</v>
      </c>
      <c r="M365" t="str">
        <f t="shared" ca="1" si="20"/>
        <v/>
      </c>
      <c r="N365" s="3" t="str" cm="1">
        <f t="array" ref="N365">_xlfn.IFS(I365&gt;=3.5,"Excellent",I365&gt;=3,"Good",I365&gt;=2,"Average",I365&lt;2,"Poor")</f>
        <v>Good</v>
      </c>
      <c r="P365" t="str">
        <f t="shared" si="21"/>
        <v/>
      </c>
      <c r="Q365">
        <f t="shared" si="22"/>
        <v>598720</v>
      </c>
      <c r="R365">
        <v>2023</v>
      </c>
      <c r="X365">
        <f t="shared" ca="1" si="23"/>
        <v>584</v>
      </c>
    </row>
    <row r="366" spans="1:24" x14ac:dyDescent="0.25">
      <c r="A366" t="s">
        <v>753</v>
      </c>
      <c r="B366" t="s">
        <v>754</v>
      </c>
      <c r="C366" t="s">
        <v>22</v>
      </c>
      <c r="D366" t="s">
        <v>62</v>
      </c>
      <c r="E366" s="1">
        <v>44614</v>
      </c>
      <c r="F366" t="s">
        <v>14</v>
      </c>
      <c r="G366">
        <v>7095</v>
      </c>
      <c r="H366">
        <v>8663</v>
      </c>
      <c r="I366">
        <v>2.3199999999999998</v>
      </c>
      <c r="J366">
        <v>98</v>
      </c>
      <c r="M366">
        <f t="shared" ca="1" si="20"/>
        <v>1235</v>
      </c>
      <c r="N366" s="3" t="str" cm="1">
        <f t="array" ref="N366">_xlfn.IFS(I366&gt;=3.5,"Excellent",I366&gt;=3,"Good",I366&gt;=2,"Average",I366&lt;2,"Poor")</f>
        <v>Average</v>
      </c>
      <c r="P366" t="str">
        <f t="shared" si="21"/>
        <v>True</v>
      </c>
      <c r="Q366">
        <f t="shared" si="22"/>
        <v>598720</v>
      </c>
      <c r="R366">
        <v>2022</v>
      </c>
      <c r="X366" t="str">
        <f t="shared" ca="1" si="23"/>
        <v/>
      </c>
    </row>
    <row r="367" spans="1:24" x14ac:dyDescent="0.25">
      <c r="A367" t="s">
        <v>755</v>
      </c>
      <c r="B367" t="s">
        <v>756</v>
      </c>
      <c r="C367" t="s">
        <v>25</v>
      </c>
      <c r="D367" t="s">
        <v>62</v>
      </c>
      <c r="E367" s="1">
        <v>44826</v>
      </c>
      <c r="F367" t="s">
        <v>14</v>
      </c>
      <c r="G367">
        <v>14571</v>
      </c>
      <c r="H367">
        <v>1629</v>
      </c>
      <c r="I367">
        <v>2.36</v>
      </c>
      <c r="J367">
        <v>33</v>
      </c>
      <c r="M367">
        <f t="shared" ca="1" si="20"/>
        <v>1023</v>
      </c>
      <c r="N367" s="3" t="str" cm="1">
        <f t="array" ref="N367">_xlfn.IFS(I367&gt;=3.5,"Excellent",I367&gt;=3,"Good",I367&gt;=2,"Average",I367&lt;2,"Poor")</f>
        <v>Average</v>
      </c>
      <c r="P367" t="str">
        <f t="shared" si="21"/>
        <v/>
      </c>
      <c r="Q367">
        <f t="shared" si="22"/>
        <v>598720</v>
      </c>
      <c r="R367">
        <v>2022</v>
      </c>
      <c r="X367" t="str">
        <f t="shared" ca="1" si="23"/>
        <v/>
      </c>
    </row>
    <row r="368" spans="1:24" x14ac:dyDescent="0.25">
      <c r="A368" t="s">
        <v>757</v>
      </c>
      <c r="B368" t="s">
        <v>758</v>
      </c>
      <c r="C368" t="s">
        <v>25</v>
      </c>
      <c r="D368" t="s">
        <v>31</v>
      </c>
      <c r="E368" s="1">
        <v>45453</v>
      </c>
      <c r="F368" t="s">
        <v>39</v>
      </c>
      <c r="G368">
        <v>10830</v>
      </c>
      <c r="H368">
        <v>6989</v>
      </c>
      <c r="I368">
        <v>2.2200000000000002</v>
      </c>
      <c r="J368">
        <v>83</v>
      </c>
      <c r="M368" t="str">
        <f t="shared" ca="1" si="20"/>
        <v/>
      </c>
      <c r="N368" s="3" t="str" cm="1">
        <f t="array" ref="N368">_xlfn.IFS(I368&gt;=3.5,"Excellent",I368&gt;=3,"Good",I368&gt;=2,"Average",I368&lt;2,"Poor")</f>
        <v>Average</v>
      </c>
      <c r="P368" t="str">
        <f t="shared" si="21"/>
        <v>True</v>
      </c>
      <c r="Q368">
        <f t="shared" si="22"/>
        <v>598720</v>
      </c>
      <c r="R368">
        <v>2024</v>
      </c>
      <c r="X368" t="str">
        <f t="shared" ca="1" si="23"/>
        <v/>
      </c>
    </row>
    <row r="369" spans="1:24" x14ac:dyDescent="0.25">
      <c r="A369" t="s">
        <v>759</v>
      </c>
      <c r="B369" t="s">
        <v>760</v>
      </c>
      <c r="C369" t="s">
        <v>12</v>
      </c>
      <c r="D369" t="s">
        <v>18</v>
      </c>
      <c r="E369" s="1">
        <v>45241</v>
      </c>
      <c r="F369" t="s">
        <v>39</v>
      </c>
      <c r="G369">
        <v>8519</v>
      </c>
      <c r="H369">
        <v>2389</v>
      </c>
      <c r="I369">
        <v>2.85</v>
      </c>
      <c r="J369">
        <v>109</v>
      </c>
      <c r="M369" t="str">
        <f t="shared" ca="1" si="20"/>
        <v/>
      </c>
      <c r="N369" s="3" t="str" cm="1">
        <f t="array" ref="N369">_xlfn.IFS(I369&gt;=3.5,"Excellent",I369&gt;=3,"Good",I369&gt;=2,"Average",I369&lt;2,"Poor")</f>
        <v>Average</v>
      </c>
      <c r="P369" t="str">
        <f t="shared" si="21"/>
        <v/>
      </c>
      <c r="Q369">
        <f t="shared" si="22"/>
        <v>598720</v>
      </c>
      <c r="R369">
        <v>2023</v>
      </c>
      <c r="X369" t="str">
        <f t="shared" ca="1" si="23"/>
        <v/>
      </c>
    </row>
    <row r="370" spans="1:24" x14ac:dyDescent="0.25">
      <c r="A370" t="s">
        <v>761</v>
      </c>
      <c r="B370" t="s">
        <v>762</v>
      </c>
      <c r="C370" t="s">
        <v>28</v>
      </c>
      <c r="D370" t="s">
        <v>18</v>
      </c>
      <c r="E370" s="1">
        <v>44721</v>
      </c>
      <c r="F370" t="s">
        <v>14</v>
      </c>
      <c r="G370">
        <v>3664</v>
      </c>
      <c r="H370">
        <v>6430</v>
      </c>
      <c r="I370">
        <v>3.23</v>
      </c>
      <c r="J370">
        <v>112</v>
      </c>
      <c r="M370">
        <f t="shared" ca="1" si="20"/>
        <v>1128</v>
      </c>
      <c r="N370" s="3" t="str" cm="1">
        <f t="array" ref="N370">_xlfn.IFS(I370&gt;=3.5,"Excellent",I370&gt;=3,"Good",I370&gt;=2,"Average",I370&lt;2,"Poor")</f>
        <v>Good</v>
      </c>
      <c r="P370" t="str">
        <f t="shared" si="21"/>
        <v>True</v>
      </c>
      <c r="Q370">
        <f t="shared" si="22"/>
        <v>598720</v>
      </c>
      <c r="R370">
        <v>2022</v>
      </c>
      <c r="X370" t="str">
        <f t="shared" ca="1" si="23"/>
        <v/>
      </c>
    </row>
    <row r="371" spans="1:24" x14ac:dyDescent="0.25">
      <c r="A371" t="s">
        <v>763</v>
      </c>
      <c r="B371" t="s">
        <v>764</v>
      </c>
      <c r="C371" t="s">
        <v>12</v>
      </c>
      <c r="D371" t="s">
        <v>18</v>
      </c>
      <c r="E371" s="1">
        <v>44833</v>
      </c>
      <c r="F371" t="s">
        <v>14</v>
      </c>
      <c r="G371">
        <v>2185</v>
      </c>
      <c r="H371">
        <v>9733</v>
      </c>
      <c r="I371">
        <v>2.1</v>
      </c>
      <c r="J371">
        <v>21</v>
      </c>
      <c r="M371">
        <f t="shared" ca="1" si="20"/>
        <v>1016</v>
      </c>
      <c r="N371" s="3" t="str" cm="1">
        <f t="array" ref="N371">_xlfn.IFS(I371&gt;=3.5,"Excellent",I371&gt;=3,"Good",I371&gt;=2,"Average",I371&lt;2,"Poor")</f>
        <v>Average</v>
      </c>
      <c r="P371" t="str">
        <f t="shared" si="21"/>
        <v>True</v>
      </c>
      <c r="Q371">
        <f t="shared" si="22"/>
        <v>598720</v>
      </c>
      <c r="R371">
        <v>2022</v>
      </c>
      <c r="X371" t="str">
        <f t="shared" ca="1" si="23"/>
        <v/>
      </c>
    </row>
    <row r="372" spans="1:24" x14ac:dyDescent="0.25">
      <c r="A372" t="s">
        <v>765</v>
      </c>
      <c r="B372" t="s">
        <v>766</v>
      </c>
      <c r="C372" t="s">
        <v>17</v>
      </c>
      <c r="D372" t="s">
        <v>31</v>
      </c>
      <c r="E372" s="1">
        <v>44957</v>
      </c>
      <c r="F372" t="s">
        <v>14</v>
      </c>
      <c r="G372">
        <v>14842</v>
      </c>
      <c r="H372">
        <v>8209</v>
      </c>
      <c r="I372">
        <v>3.53</v>
      </c>
      <c r="J372">
        <v>5</v>
      </c>
      <c r="M372">
        <f t="shared" ca="1" si="20"/>
        <v>892</v>
      </c>
      <c r="N372" s="3" t="str" cm="1">
        <f t="array" ref="N372">_xlfn.IFS(I372&gt;=3.5,"Excellent",I372&gt;=3,"Good",I372&gt;=2,"Average",I372&lt;2,"Poor")</f>
        <v>Excellent</v>
      </c>
      <c r="P372" t="str">
        <f t="shared" si="21"/>
        <v>True</v>
      </c>
      <c r="Q372">
        <f t="shared" si="22"/>
        <v>598720</v>
      </c>
      <c r="R372">
        <v>2023</v>
      </c>
      <c r="X372" t="str">
        <f t="shared" ca="1" si="23"/>
        <v/>
      </c>
    </row>
    <row r="373" spans="1:24" x14ac:dyDescent="0.25">
      <c r="A373" t="s">
        <v>767</v>
      </c>
      <c r="B373" t="s">
        <v>768</v>
      </c>
      <c r="C373" t="s">
        <v>12</v>
      </c>
      <c r="D373" t="s">
        <v>31</v>
      </c>
      <c r="E373" s="1">
        <v>44705</v>
      </c>
      <c r="F373" t="s">
        <v>19</v>
      </c>
      <c r="G373">
        <v>4085</v>
      </c>
      <c r="H373">
        <v>7274</v>
      </c>
      <c r="I373">
        <v>3.68</v>
      </c>
      <c r="J373">
        <v>118</v>
      </c>
      <c r="M373" t="str">
        <f t="shared" ca="1" si="20"/>
        <v/>
      </c>
      <c r="N373" s="3" t="str" cm="1">
        <f t="array" ref="N373">_xlfn.IFS(I373&gt;=3.5,"Excellent",I373&gt;=3,"Good",I373&gt;=2,"Average",I373&lt;2,"Poor")</f>
        <v>Excellent</v>
      </c>
      <c r="P373" t="str">
        <f t="shared" si="21"/>
        <v>True</v>
      </c>
      <c r="Q373">
        <f t="shared" si="22"/>
        <v>598720</v>
      </c>
      <c r="R373">
        <v>2022</v>
      </c>
      <c r="X373">
        <f t="shared" ca="1" si="23"/>
        <v>1144</v>
      </c>
    </row>
    <row r="374" spans="1:24" x14ac:dyDescent="0.25">
      <c r="A374" t="s">
        <v>769</v>
      </c>
      <c r="B374" t="s">
        <v>770</v>
      </c>
      <c r="C374" t="s">
        <v>12</v>
      </c>
      <c r="D374" t="s">
        <v>62</v>
      </c>
      <c r="E374" s="1">
        <v>45408</v>
      </c>
      <c r="F374" t="s">
        <v>39</v>
      </c>
      <c r="G374">
        <v>10083</v>
      </c>
      <c r="H374">
        <v>7627</v>
      </c>
      <c r="I374">
        <v>3.65</v>
      </c>
      <c r="J374">
        <v>51</v>
      </c>
      <c r="M374" t="str">
        <f t="shared" ca="1" si="20"/>
        <v/>
      </c>
      <c r="N374" s="3" t="str" cm="1">
        <f t="array" ref="N374">_xlfn.IFS(I374&gt;=3.5,"Excellent",I374&gt;=3,"Good",I374&gt;=2,"Average",I374&lt;2,"Poor")</f>
        <v>Excellent</v>
      </c>
      <c r="P374" t="str">
        <f t="shared" si="21"/>
        <v>True</v>
      </c>
      <c r="Q374">
        <f t="shared" si="22"/>
        <v>598720</v>
      </c>
      <c r="R374">
        <v>2024</v>
      </c>
      <c r="X374" t="str">
        <f t="shared" ca="1" si="23"/>
        <v/>
      </c>
    </row>
    <row r="375" spans="1:24" x14ac:dyDescent="0.25">
      <c r="A375" t="s">
        <v>771</v>
      </c>
      <c r="B375" t="s">
        <v>772</v>
      </c>
      <c r="C375" t="s">
        <v>28</v>
      </c>
      <c r="D375" t="s">
        <v>31</v>
      </c>
      <c r="E375" s="1">
        <v>44818</v>
      </c>
      <c r="F375" t="s">
        <v>14</v>
      </c>
      <c r="G375">
        <v>7207</v>
      </c>
      <c r="H375">
        <v>849</v>
      </c>
      <c r="I375">
        <v>2.7</v>
      </c>
      <c r="J375">
        <v>13</v>
      </c>
      <c r="M375">
        <f t="shared" ca="1" si="20"/>
        <v>1031</v>
      </c>
      <c r="N375" s="3" t="str" cm="1">
        <f t="array" ref="N375">_xlfn.IFS(I375&gt;=3.5,"Excellent",I375&gt;=3,"Good",I375&gt;=2,"Average",I375&lt;2,"Poor")</f>
        <v>Average</v>
      </c>
      <c r="P375" t="str">
        <f t="shared" si="21"/>
        <v/>
      </c>
      <c r="Q375">
        <f t="shared" si="22"/>
        <v>598720</v>
      </c>
      <c r="R375">
        <v>2022</v>
      </c>
      <c r="X375" t="str">
        <f t="shared" ca="1" si="23"/>
        <v/>
      </c>
    </row>
    <row r="376" spans="1:24" x14ac:dyDescent="0.25">
      <c r="A376" t="s">
        <v>773</v>
      </c>
      <c r="B376" t="s">
        <v>774</v>
      </c>
      <c r="C376" t="s">
        <v>54</v>
      </c>
      <c r="D376" t="s">
        <v>18</v>
      </c>
      <c r="E376" s="1">
        <v>44826</v>
      </c>
      <c r="F376" t="s">
        <v>19</v>
      </c>
      <c r="G376">
        <v>5212</v>
      </c>
      <c r="H376">
        <v>8077</v>
      </c>
      <c r="I376">
        <v>3.84</v>
      </c>
      <c r="J376">
        <v>107</v>
      </c>
      <c r="M376" t="str">
        <f t="shared" ca="1" si="20"/>
        <v/>
      </c>
      <c r="N376" s="3" t="str" cm="1">
        <f t="array" ref="N376">_xlfn.IFS(I376&gt;=3.5,"Excellent",I376&gt;=3,"Good",I376&gt;=2,"Average",I376&lt;2,"Poor")</f>
        <v>Excellent</v>
      </c>
      <c r="P376" t="str">
        <f t="shared" si="21"/>
        <v>True</v>
      </c>
      <c r="Q376">
        <f t="shared" si="22"/>
        <v>598720</v>
      </c>
      <c r="R376">
        <v>2022</v>
      </c>
      <c r="X376">
        <f t="shared" ca="1" si="23"/>
        <v>1023</v>
      </c>
    </row>
    <row r="377" spans="1:24" x14ac:dyDescent="0.25">
      <c r="A377" t="s">
        <v>775</v>
      </c>
      <c r="B377" t="s">
        <v>776</v>
      </c>
      <c r="C377" t="s">
        <v>12</v>
      </c>
      <c r="D377" t="s">
        <v>31</v>
      </c>
      <c r="E377" s="1">
        <v>44630</v>
      </c>
      <c r="F377" t="s">
        <v>14</v>
      </c>
      <c r="G377">
        <v>9737</v>
      </c>
      <c r="H377">
        <v>4257</v>
      </c>
      <c r="I377">
        <v>3.43</v>
      </c>
      <c r="J377">
        <v>47</v>
      </c>
      <c r="M377">
        <f t="shared" ca="1" si="20"/>
        <v>1219</v>
      </c>
      <c r="N377" s="3" t="str" cm="1">
        <f t="array" ref="N377">_xlfn.IFS(I377&gt;=3.5,"Excellent",I377&gt;=3,"Good",I377&gt;=2,"Average",I377&lt;2,"Poor")</f>
        <v>Good</v>
      </c>
      <c r="P377" t="str">
        <f t="shared" si="21"/>
        <v/>
      </c>
      <c r="Q377">
        <f t="shared" si="22"/>
        <v>593508</v>
      </c>
      <c r="R377">
        <v>2022</v>
      </c>
      <c r="X377" t="str">
        <f t="shared" ca="1" si="23"/>
        <v/>
      </c>
    </row>
    <row r="378" spans="1:24" x14ac:dyDescent="0.25">
      <c r="A378" t="s">
        <v>777</v>
      </c>
      <c r="B378" t="s">
        <v>778</v>
      </c>
      <c r="C378" t="s">
        <v>36</v>
      </c>
      <c r="D378" t="s">
        <v>62</v>
      </c>
      <c r="E378" s="1">
        <v>44616</v>
      </c>
      <c r="F378" t="s">
        <v>39</v>
      </c>
      <c r="G378">
        <v>3123</v>
      </c>
      <c r="H378">
        <v>5542</v>
      </c>
      <c r="I378">
        <v>3.82</v>
      </c>
      <c r="J378">
        <v>48</v>
      </c>
      <c r="M378" t="str">
        <f t="shared" ca="1" si="20"/>
        <v/>
      </c>
      <c r="N378" s="3" t="str" cm="1">
        <f t="array" ref="N378">_xlfn.IFS(I378&gt;=3.5,"Excellent",I378&gt;=3,"Good",I378&gt;=2,"Average",I378&lt;2,"Poor")</f>
        <v>Excellent</v>
      </c>
      <c r="P378" t="str">
        <f t="shared" si="21"/>
        <v>True</v>
      </c>
      <c r="Q378">
        <f t="shared" si="22"/>
        <v>593508</v>
      </c>
      <c r="R378">
        <v>2022</v>
      </c>
      <c r="X378" t="str">
        <f t="shared" ca="1" si="23"/>
        <v/>
      </c>
    </row>
    <row r="379" spans="1:24" x14ac:dyDescent="0.25">
      <c r="A379" t="s">
        <v>779</v>
      </c>
      <c r="B379" t="s">
        <v>780</v>
      </c>
      <c r="C379" t="s">
        <v>57</v>
      </c>
      <c r="D379" t="s">
        <v>13</v>
      </c>
      <c r="E379" s="1">
        <v>45122</v>
      </c>
      <c r="F379" t="s">
        <v>14</v>
      </c>
      <c r="G379">
        <v>2497</v>
      </c>
      <c r="H379">
        <v>7768</v>
      </c>
      <c r="I379">
        <v>3.66</v>
      </c>
      <c r="J379">
        <v>56</v>
      </c>
      <c r="M379">
        <f t="shared" ca="1" si="20"/>
        <v>727</v>
      </c>
      <c r="N379" s="3" t="str" cm="1">
        <f t="array" ref="N379">_xlfn.IFS(I379&gt;=3.5,"Excellent",I379&gt;=3,"Good",I379&gt;=2,"Average",I379&lt;2,"Poor")</f>
        <v>Excellent</v>
      </c>
      <c r="P379" t="str">
        <f t="shared" si="21"/>
        <v>True</v>
      </c>
      <c r="Q379">
        <f t="shared" si="22"/>
        <v>593508</v>
      </c>
      <c r="R379">
        <v>2023</v>
      </c>
      <c r="X379" t="str">
        <f t="shared" ca="1" si="23"/>
        <v/>
      </c>
    </row>
    <row r="380" spans="1:24" x14ac:dyDescent="0.25">
      <c r="A380" t="s">
        <v>781</v>
      </c>
      <c r="B380" t="s">
        <v>782</v>
      </c>
      <c r="C380" t="s">
        <v>17</v>
      </c>
      <c r="D380" t="s">
        <v>18</v>
      </c>
      <c r="E380" s="1">
        <v>45453</v>
      </c>
      <c r="F380" t="s">
        <v>19</v>
      </c>
      <c r="G380">
        <v>13114</v>
      </c>
      <c r="H380">
        <v>5020</v>
      </c>
      <c r="I380">
        <v>2.78</v>
      </c>
      <c r="J380">
        <v>67</v>
      </c>
      <c r="M380" t="str">
        <f t="shared" ca="1" si="20"/>
        <v/>
      </c>
      <c r="N380" s="3" t="str" cm="1">
        <f t="array" ref="N380">_xlfn.IFS(I380&gt;=3.5,"Excellent",I380&gt;=3,"Good",I380&gt;=2,"Average",I380&lt;2,"Poor")</f>
        <v>Average</v>
      </c>
      <c r="P380" t="str">
        <f t="shared" si="21"/>
        <v/>
      </c>
      <c r="Q380">
        <f t="shared" si="22"/>
        <v>593508</v>
      </c>
      <c r="R380">
        <v>2024</v>
      </c>
      <c r="X380">
        <f t="shared" ca="1" si="23"/>
        <v>396</v>
      </c>
    </row>
    <row r="381" spans="1:24" x14ac:dyDescent="0.25">
      <c r="A381" t="s">
        <v>783</v>
      </c>
      <c r="B381" t="s">
        <v>784</v>
      </c>
      <c r="C381" t="s">
        <v>57</v>
      </c>
      <c r="D381" t="s">
        <v>62</v>
      </c>
      <c r="E381" s="1">
        <v>44640</v>
      </c>
      <c r="F381" t="s">
        <v>14</v>
      </c>
      <c r="G381">
        <v>12549</v>
      </c>
      <c r="H381">
        <v>5639</v>
      </c>
      <c r="I381">
        <v>3.36</v>
      </c>
      <c r="J381">
        <v>38</v>
      </c>
      <c r="M381">
        <f t="shared" ca="1" si="20"/>
        <v>1209</v>
      </c>
      <c r="N381" s="3" t="str" cm="1">
        <f t="array" ref="N381">_xlfn.IFS(I381&gt;=3.5,"Excellent",I381&gt;=3,"Good",I381&gt;=2,"Average",I381&lt;2,"Poor")</f>
        <v>Good</v>
      </c>
      <c r="P381" t="str">
        <f t="shared" si="21"/>
        <v/>
      </c>
      <c r="Q381">
        <f t="shared" si="22"/>
        <v>580394</v>
      </c>
      <c r="R381">
        <v>2022</v>
      </c>
      <c r="X381" t="str">
        <f t="shared" ca="1" si="23"/>
        <v/>
      </c>
    </row>
    <row r="382" spans="1:24" x14ac:dyDescent="0.25">
      <c r="A382" t="s">
        <v>785</v>
      </c>
      <c r="B382" t="s">
        <v>786</v>
      </c>
      <c r="C382" t="s">
        <v>12</v>
      </c>
      <c r="D382" t="s">
        <v>31</v>
      </c>
      <c r="E382" s="1">
        <v>45061</v>
      </c>
      <c r="F382" t="s">
        <v>14</v>
      </c>
      <c r="G382">
        <v>11461</v>
      </c>
      <c r="H382">
        <v>6852</v>
      </c>
      <c r="I382">
        <v>2.88</v>
      </c>
      <c r="J382">
        <v>73</v>
      </c>
      <c r="M382">
        <f t="shared" ca="1" si="20"/>
        <v>788</v>
      </c>
      <c r="N382" s="3" t="str" cm="1">
        <f t="array" ref="N382">_xlfn.IFS(I382&gt;=3.5,"Excellent",I382&gt;=3,"Good",I382&gt;=2,"Average",I382&lt;2,"Poor")</f>
        <v>Average</v>
      </c>
      <c r="P382" t="str">
        <f t="shared" si="21"/>
        <v>True</v>
      </c>
      <c r="Q382">
        <f t="shared" si="22"/>
        <v>580394</v>
      </c>
      <c r="R382">
        <v>2023</v>
      </c>
      <c r="X382" t="str">
        <f t="shared" ca="1" si="23"/>
        <v/>
      </c>
    </row>
    <row r="383" spans="1:24" x14ac:dyDescent="0.25">
      <c r="A383" t="s">
        <v>787</v>
      </c>
      <c r="B383" t="s">
        <v>788</v>
      </c>
      <c r="C383" t="s">
        <v>12</v>
      </c>
      <c r="D383" t="s">
        <v>31</v>
      </c>
      <c r="E383" s="1">
        <v>45068</v>
      </c>
      <c r="F383" t="s">
        <v>39</v>
      </c>
      <c r="G383">
        <v>13551</v>
      </c>
      <c r="H383">
        <v>1986</v>
      </c>
      <c r="I383">
        <v>3.86</v>
      </c>
      <c r="J383">
        <v>5</v>
      </c>
      <c r="M383" t="str">
        <f t="shared" ca="1" si="20"/>
        <v/>
      </c>
      <c r="N383" s="3" t="str" cm="1">
        <f t="array" ref="N383">_xlfn.IFS(I383&gt;=3.5,"Excellent",I383&gt;=3,"Good",I383&gt;=2,"Average",I383&lt;2,"Poor")</f>
        <v>Excellent</v>
      </c>
      <c r="P383" t="str">
        <f t="shared" si="21"/>
        <v/>
      </c>
      <c r="Q383">
        <f t="shared" si="22"/>
        <v>580394</v>
      </c>
      <c r="R383">
        <v>2023</v>
      </c>
      <c r="X383" t="str">
        <f t="shared" ca="1" si="23"/>
        <v/>
      </c>
    </row>
    <row r="384" spans="1:24" x14ac:dyDescent="0.25">
      <c r="A384" t="s">
        <v>789</v>
      </c>
      <c r="B384" t="s">
        <v>790</v>
      </c>
      <c r="C384" t="s">
        <v>22</v>
      </c>
      <c r="D384" t="s">
        <v>13</v>
      </c>
      <c r="E384" s="1">
        <v>44967</v>
      </c>
      <c r="F384" t="s">
        <v>39</v>
      </c>
      <c r="G384">
        <v>13139</v>
      </c>
      <c r="H384">
        <v>2798</v>
      </c>
      <c r="I384">
        <v>2.63</v>
      </c>
      <c r="J384">
        <v>119</v>
      </c>
      <c r="M384" t="str">
        <f t="shared" ca="1" si="20"/>
        <v/>
      </c>
      <c r="N384" s="3" t="str" cm="1">
        <f t="array" ref="N384">_xlfn.IFS(I384&gt;=3.5,"Excellent",I384&gt;=3,"Good",I384&gt;=2,"Average",I384&lt;2,"Poor")</f>
        <v>Average</v>
      </c>
      <c r="P384" t="str">
        <f t="shared" si="21"/>
        <v/>
      </c>
      <c r="Q384">
        <f t="shared" si="22"/>
        <v>580394</v>
      </c>
      <c r="R384">
        <v>2023</v>
      </c>
      <c r="X384" t="str">
        <f t="shared" ca="1" si="23"/>
        <v/>
      </c>
    </row>
    <row r="385" spans="1:24" x14ac:dyDescent="0.25">
      <c r="A385" t="s">
        <v>791</v>
      </c>
      <c r="B385" t="s">
        <v>792</v>
      </c>
      <c r="C385" t="s">
        <v>36</v>
      </c>
      <c r="D385" t="s">
        <v>13</v>
      </c>
      <c r="E385" s="1">
        <v>45163</v>
      </c>
      <c r="F385" t="s">
        <v>14</v>
      </c>
      <c r="G385">
        <v>4092</v>
      </c>
      <c r="H385">
        <v>8499</v>
      </c>
      <c r="I385">
        <v>3.48</v>
      </c>
      <c r="J385">
        <v>69</v>
      </c>
      <c r="M385">
        <f t="shared" ca="1" si="20"/>
        <v>686</v>
      </c>
      <c r="N385" s="3" t="str" cm="1">
        <f t="array" ref="N385">_xlfn.IFS(I385&gt;=3.5,"Excellent",I385&gt;=3,"Good",I385&gt;=2,"Average",I385&lt;2,"Poor")</f>
        <v>Good</v>
      </c>
      <c r="P385" t="str">
        <f t="shared" si="21"/>
        <v>True</v>
      </c>
      <c r="Q385">
        <f t="shared" si="22"/>
        <v>580394</v>
      </c>
      <c r="R385">
        <v>2023</v>
      </c>
      <c r="X385" t="str">
        <f t="shared" ca="1" si="23"/>
        <v/>
      </c>
    </row>
    <row r="386" spans="1:24" x14ac:dyDescent="0.25">
      <c r="A386" t="s">
        <v>793</v>
      </c>
      <c r="B386" t="s">
        <v>794</v>
      </c>
      <c r="C386" t="s">
        <v>28</v>
      </c>
      <c r="D386" t="s">
        <v>62</v>
      </c>
      <c r="E386" s="1">
        <v>44726</v>
      </c>
      <c r="F386" t="s">
        <v>19</v>
      </c>
      <c r="G386">
        <v>2153</v>
      </c>
      <c r="H386">
        <v>7439</v>
      </c>
      <c r="I386">
        <v>3.76</v>
      </c>
      <c r="J386">
        <v>30</v>
      </c>
      <c r="M386" t="str">
        <f t="shared" ca="1" si="20"/>
        <v/>
      </c>
      <c r="N386" s="3" t="str" cm="1">
        <f t="array" ref="N386">_xlfn.IFS(I386&gt;=3.5,"Excellent",I386&gt;=3,"Good",I386&gt;=2,"Average",I386&lt;2,"Poor")</f>
        <v>Excellent</v>
      </c>
      <c r="P386" t="str">
        <f t="shared" si="21"/>
        <v>True</v>
      </c>
      <c r="Q386">
        <f t="shared" si="22"/>
        <v>580394</v>
      </c>
      <c r="R386">
        <v>2022</v>
      </c>
      <c r="X386">
        <f t="shared" ca="1" si="23"/>
        <v>1123</v>
      </c>
    </row>
    <row r="387" spans="1:24" x14ac:dyDescent="0.25">
      <c r="A387" t="s">
        <v>795</v>
      </c>
      <c r="B387" t="s">
        <v>796</v>
      </c>
      <c r="C387" t="s">
        <v>36</v>
      </c>
      <c r="D387" t="s">
        <v>31</v>
      </c>
      <c r="E387" s="1">
        <v>44676</v>
      </c>
      <c r="F387" t="s">
        <v>14</v>
      </c>
      <c r="G387">
        <v>8339</v>
      </c>
      <c r="H387">
        <v>9829</v>
      </c>
      <c r="I387">
        <v>2.34</v>
      </c>
      <c r="J387">
        <v>116</v>
      </c>
      <c r="M387">
        <f t="shared" ref="M387:M450" ca="1" si="24">IF(F387="Enrolled",TODAY()-E387,"")</f>
        <v>1173</v>
      </c>
      <c r="N387" s="3" t="str" cm="1">
        <f t="array" ref="N387">_xlfn.IFS(I387&gt;=3.5,"Excellent",I387&gt;=3,"Good",I387&gt;=2,"Average",I387&lt;2,"Poor")</f>
        <v>Average</v>
      </c>
      <c r="P387" t="str">
        <f t="shared" ref="P387:P450" si="25">IF(H387&gt;0.5*G387,"True","")</f>
        <v>True</v>
      </c>
      <c r="Q387">
        <f t="shared" ref="Q387:Q450" si="26">SUMIFS(G387:G1586,F387:F1586,"Completed",D387:D1586,"Science")</f>
        <v>580394</v>
      </c>
      <c r="R387">
        <v>2022</v>
      </c>
      <c r="X387" t="str">
        <f t="shared" ref="X387:X450" ca="1" si="27">IF(F387="Completed",TODAY()-E387,"")</f>
        <v/>
      </c>
    </row>
    <row r="388" spans="1:24" x14ac:dyDescent="0.25">
      <c r="A388" t="s">
        <v>797</v>
      </c>
      <c r="B388" t="s">
        <v>798</v>
      </c>
      <c r="C388" t="s">
        <v>54</v>
      </c>
      <c r="D388" t="s">
        <v>13</v>
      </c>
      <c r="E388" s="1">
        <v>44629</v>
      </c>
      <c r="F388" t="s">
        <v>14</v>
      </c>
      <c r="G388">
        <v>11121</v>
      </c>
      <c r="H388">
        <v>2183</v>
      </c>
      <c r="I388">
        <v>2.99</v>
      </c>
      <c r="J388">
        <v>42</v>
      </c>
      <c r="M388">
        <f t="shared" ca="1" si="24"/>
        <v>1220</v>
      </c>
      <c r="N388" s="3" t="str" cm="1">
        <f t="array" ref="N388">_xlfn.IFS(I388&gt;=3.5,"Excellent",I388&gt;=3,"Good",I388&gt;=2,"Average",I388&lt;2,"Poor")</f>
        <v>Average</v>
      </c>
      <c r="P388" t="str">
        <f t="shared" si="25"/>
        <v/>
      </c>
      <c r="Q388">
        <f t="shared" si="26"/>
        <v>580394</v>
      </c>
      <c r="R388">
        <v>2022</v>
      </c>
      <c r="X388" t="str">
        <f t="shared" ca="1" si="27"/>
        <v/>
      </c>
    </row>
    <row r="389" spans="1:24" x14ac:dyDescent="0.25">
      <c r="A389" t="s">
        <v>799</v>
      </c>
      <c r="B389" t="s">
        <v>800</v>
      </c>
      <c r="C389" t="s">
        <v>57</v>
      </c>
      <c r="D389" t="s">
        <v>31</v>
      </c>
      <c r="E389" s="1">
        <v>44741</v>
      </c>
      <c r="F389" t="s">
        <v>14</v>
      </c>
      <c r="G389">
        <v>7432</v>
      </c>
      <c r="H389">
        <v>7205</v>
      </c>
      <c r="I389">
        <v>3.64</v>
      </c>
      <c r="J389">
        <v>8</v>
      </c>
      <c r="M389">
        <f t="shared" ca="1" si="24"/>
        <v>1108</v>
      </c>
      <c r="N389" s="3" t="str" cm="1">
        <f t="array" ref="N389">_xlfn.IFS(I389&gt;=3.5,"Excellent",I389&gt;=3,"Good",I389&gt;=2,"Average",I389&lt;2,"Poor")</f>
        <v>Excellent</v>
      </c>
      <c r="P389" t="str">
        <f t="shared" si="25"/>
        <v>True</v>
      </c>
      <c r="Q389">
        <f t="shared" si="26"/>
        <v>580394</v>
      </c>
      <c r="R389">
        <v>2022</v>
      </c>
      <c r="X389" t="str">
        <f t="shared" ca="1" si="27"/>
        <v/>
      </c>
    </row>
    <row r="390" spans="1:24" x14ac:dyDescent="0.25">
      <c r="A390" t="s">
        <v>801</v>
      </c>
      <c r="B390" t="s">
        <v>802</v>
      </c>
      <c r="C390" t="s">
        <v>36</v>
      </c>
      <c r="D390" t="s">
        <v>62</v>
      </c>
      <c r="E390" s="1">
        <v>44873</v>
      </c>
      <c r="F390" t="s">
        <v>14</v>
      </c>
      <c r="G390">
        <v>3537</v>
      </c>
      <c r="H390">
        <v>1875</v>
      </c>
      <c r="I390">
        <v>2.87</v>
      </c>
      <c r="J390">
        <v>19</v>
      </c>
      <c r="M390">
        <f t="shared" ca="1" si="24"/>
        <v>976</v>
      </c>
      <c r="N390" s="3" t="str" cm="1">
        <f t="array" ref="N390">_xlfn.IFS(I390&gt;=3.5,"Excellent",I390&gt;=3,"Good",I390&gt;=2,"Average",I390&lt;2,"Poor")</f>
        <v>Average</v>
      </c>
      <c r="P390" t="str">
        <f t="shared" si="25"/>
        <v>True</v>
      </c>
      <c r="Q390">
        <f t="shared" si="26"/>
        <v>580394</v>
      </c>
      <c r="R390">
        <v>2022</v>
      </c>
      <c r="X390" t="str">
        <f t="shared" ca="1" si="27"/>
        <v/>
      </c>
    </row>
    <row r="391" spans="1:24" x14ac:dyDescent="0.25">
      <c r="A391" t="s">
        <v>803</v>
      </c>
      <c r="B391" t="s">
        <v>804</v>
      </c>
      <c r="C391" t="s">
        <v>28</v>
      </c>
      <c r="D391" t="s">
        <v>31</v>
      </c>
      <c r="E391" s="1">
        <v>44668</v>
      </c>
      <c r="F391" t="s">
        <v>14</v>
      </c>
      <c r="G391">
        <v>9228</v>
      </c>
      <c r="H391">
        <v>1359</v>
      </c>
      <c r="I391">
        <v>2.4</v>
      </c>
      <c r="J391">
        <v>81</v>
      </c>
      <c r="M391">
        <f t="shared" ca="1" si="24"/>
        <v>1181</v>
      </c>
      <c r="N391" s="3" t="str" cm="1">
        <f t="array" ref="N391">_xlfn.IFS(I391&gt;=3.5,"Excellent",I391&gt;=3,"Good",I391&gt;=2,"Average",I391&lt;2,"Poor")</f>
        <v>Average</v>
      </c>
      <c r="P391" t="str">
        <f t="shared" si="25"/>
        <v/>
      </c>
      <c r="Q391">
        <f t="shared" si="26"/>
        <v>580394</v>
      </c>
      <c r="R391">
        <v>2022</v>
      </c>
      <c r="X391" t="str">
        <f t="shared" ca="1" si="27"/>
        <v/>
      </c>
    </row>
    <row r="392" spans="1:24" x14ac:dyDescent="0.25">
      <c r="A392" t="s">
        <v>805</v>
      </c>
      <c r="B392" t="s">
        <v>806</v>
      </c>
      <c r="C392" t="s">
        <v>36</v>
      </c>
      <c r="D392" t="s">
        <v>13</v>
      </c>
      <c r="E392" s="1">
        <v>44918</v>
      </c>
      <c r="F392" t="s">
        <v>19</v>
      </c>
      <c r="G392">
        <v>13877</v>
      </c>
      <c r="H392">
        <v>6447</v>
      </c>
      <c r="I392">
        <v>2.34</v>
      </c>
      <c r="J392">
        <v>69</v>
      </c>
      <c r="M392" t="str">
        <f t="shared" ca="1" si="24"/>
        <v/>
      </c>
      <c r="N392" s="3" t="str" cm="1">
        <f t="array" ref="N392">_xlfn.IFS(I392&gt;=3.5,"Excellent",I392&gt;=3,"Good",I392&gt;=2,"Average",I392&lt;2,"Poor")</f>
        <v>Average</v>
      </c>
      <c r="P392" t="str">
        <f t="shared" si="25"/>
        <v/>
      </c>
      <c r="Q392">
        <f t="shared" si="26"/>
        <v>580394</v>
      </c>
      <c r="R392">
        <v>2022</v>
      </c>
      <c r="X392">
        <f t="shared" ca="1" si="27"/>
        <v>931</v>
      </c>
    </row>
    <row r="393" spans="1:24" x14ac:dyDescent="0.25">
      <c r="A393" t="s">
        <v>807</v>
      </c>
      <c r="B393" t="s">
        <v>808</v>
      </c>
      <c r="C393" t="s">
        <v>36</v>
      </c>
      <c r="D393" t="s">
        <v>18</v>
      </c>
      <c r="E393" s="1">
        <v>45112</v>
      </c>
      <c r="F393" t="s">
        <v>14</v>
      </c>
      <c r="G393">
        <v>10582</v>
      </c>
      <c r="H393">
        <v>7243</v>
      </c>
      <c r="I393">
        <v>2.41</v>
      </c>
      <c r="J393">
        <v>10</v>
      </c>
      <c r="M393">
        <f t="shared" ca="1" si="24"/>
        <v>737</v>
      </c>
      <c r="N393" s="3" t="str" cm="1">
        <f t="array" ref="N393">_xlfn.IFS(I393&gt;=3.5,"Excellent",I393&gt;=3,"Good",I393&gt;=2,"Average",I393&lt;2,"Poor")</f>
        <v>Average</v>
      </c>
      <c r="P393" t="str">
        <f t="shared" si="25"/>
        <v>True</v>
      </c>
      <c r="Q393">
        <f t="shared" si="26"/>
        <v>580394</v>
      </c>
      <c r="R393">
        <v>2023</v>
      </c>
      <c r="X393" t="str">
        <f t="shared" ca="1" si="27"/>
        <v/>
      </c>
    </row>
    <row r="394" spans="1:24" x14ac:dyDescent="0.25">
      <c r="A394" t="s">
        <v>809</v>
      </c>
      <c r="B394" t="s">
        <v>810</v>
      </c>
      <c r="C394" t="s">
        <v>57</v>
      </c>
      <c r="D394" t="s">
        <v>13</v>
      </c>
      <c r="E394" s="1">
        <v>45324</v>
      </c>
      <c r="F394" t="s">
        <v>14</v>
      </c>
      <c r="G394">
        <v>11913</v>
      </c>
      <c r="H394">
        <v>1193</v>
      </c>
      <c r="I394">
        <v>3.95</v>
      </c>
      <c r="J394">
        <v>92</v>
      </c>
      <c r="M394">
        <f t="shared" ca="1" si="24"/>
        <v>525</v>
      </c>
      <c r="N394" s="3" t="str" cm="1">
        <f t="array" ref="N394">_xlfn.IFS(I394&gt;=3.5,"Excellent",I394&gt;=3,"Good",I394&gt;=2,"Average",I394&lt;2,"Poor")</f>
        <v>Excellent</v>
      </c>
      <c r="P394" t="str">
        <f t="shared" si="25"/>
        <v/>
      </c>
      <c r="Q394">
        <f t="shared" si="26"/>
        <v>580394</v>
      </c>
      <c r="R394">
        <v>2024</v>
      </c>
      <c r="X394" t="str">
        <f t="shared" ca="1" si="27"/>
        <v/>
      </c>
    </row>
    <row r="395" spans="1:24" x14ac:dyDescent="0.25">
      <c r="A395" t="s">
        <v>811</v>
      </c>
      <c r="B395" t="s">
        <v>812</v>
      </c>
      <c r="C395" t="s">
        <v>17</v>
      </c>
      <c r="D395" t="s">
        <v>62</v>
      </c>
      <c r="E395" s="1">
        <v>45102</v>
      </c>
      <c r="F395" t="s">
        <v>14</v>
      </c>
      <c r="G395">
        <v>4298</v>
      </c>
      <c r="H395">
        <v>6092</v>
      </c>
      <c r="I395">
        <v>3.4</v>
      </c>
      <c r="J395">
        <v>5</v>
      </c>
      <c r="M395">
        <f t="shared" ca="1" si="24"/>
        <v>747</v>
      </c>
      <c r="N395" s="3" t="str" cm="1">
        <f t="array" ref="N395">_xlfn.IFS(I395&gt;=3.5,"Excellent",I395&gt;=3,"Good",I395&gt;=2,"Average",I395&lt;2,"Poor")</f>
        <v>Good</v>
      </c>
      <c r="P395" t="str">
        <f t="shared" si="25"/>
        <v>True</v>
      </c>
      <c r="Q395">
        <f t="shared" si="26"/>
        <v>580394</v>
      </c>
      <c r="R395">
        <v>2023</v>
      </c>
      <c r="X395" t="str">
        <f t="shared" ca="1" si="27"/>
        <v/>
      </c>
    </row>
    <row r="396" spans="1:24" x14ac:dyDescent="0.25">
      <c r="A396" t="s">
        <v>813</v>
      </c>
      <c r="B396" t="s">
        <v>814</v>
      </c>
      <c r="C396" t="s">
        <v>57</v>
      </c>
      <c r="D396" t="s">
        <v>13</v>
      </c>
      <c r="E396" s="1">
        <v>44576</v>
      </c>
      <c r="F396" t="s">
        <v>14</v>
      </c>
      <c r="G396">
        <v>4756</v>
      </c>
      <c r="H396">
        <v>7006</v>
      </c>
      <c r="I396">
        <v>3.99</v>
      </c>
      <c r="J396">
        <v>105</v>
      </c>
      <c r="M396">
        <f t="shared" ca="1" si="24"/>
        <v>1273</v>
      </c>
      <c r="N396" s="3" t="str" cm="1">
        <f t="array" ref="N396">_xlfn.IFS(I396&gt;=3.5,"Excellent",I396&gt;=3,"Good",I396&gt;=2,"Average",I396&lt;2,"Poor")</f>
        <v>Excellent</v>
      </c>
      <c r="P396" t="str">
        <f t="shared" si="25"/>
        <v>True</v>
      </c>
      <c r="Q396">
        <f t="shared" si="26"/>
        <v>580394</v>
      </c>
      <c r="R396">
        <v>2022</v>
      </c>
      <c r="X396" t="str">
        <f t="shared" ca="1" si="27"/>
        <v/>
      </c>
    </row>
    <row r="397" spans="1:24" x14ac:dyDescent="0.25">
      <c r="A397" t="s">
        <v>815</v>
      </c>
      <c r="B397" t="s">
        <v>816</v>
      </c>
      <c r="C397" t="s">
        <v>36</v>
      </c>
      <c r="D397" t="s">
        <v>13</v>
      </c>
      <c r="E397" s="1">
        <v>44882</v>
      </c>
      <c r="F397" t="s">
        <v>14</v>
      </c>
      <c r="G397">
        <v>3656</v>
      </c>
      <c r="H397">
        <v>2681</v>
      </c>
      <c r="I397">
        <v>3.13</v>
      </c>
      <c r="J397">
        <v>100</v>
      </c>
      <c r="M397">
        <f t="shared" ca="1" si="24"/>
        <v>967</v>
      </c>
      <c r="N397" s="3" t="str" cm="1">
        <f t="array" ref="N397">_xlfn.IFS(I397&gt;=3.5,"Excellent",I397&gt;=3,"Good",I397&gt;=2,"Average",I397&lt;2,"Poor")</f>
        <v>Good</v>
      </c>
      <c r="P397" t="str">
        <f t="shared" si="25"/>
        <v>True</v>
      </c>
      <c r="Q397">
        <f t="shared" si="26"/>
        <v>580394</v>
      </c>
      <c r="R397">
        <v>2022</v>
      </c>
      <c r="X397" t="str">
        <f t="shared" ca="1" si="27"/>
        <v/>
      </c>
    </row>
    <row r="398" spans="1:24" x14ac:dyDescent="0.25">
      <c r="A398" t="s">
        <v>817</v>
      </c>
      <c r="B398" t="s">
        <v>818</v>
      </c>
      <c r="C398" t="s">
        <v>54</v>
      </c>
      <c r="D398" t="s">
        <v>62</v>
      </c>
      <c r="E398" s="1">
        <v>44846</v>
      </c>
      <c r="F398" t="s">
        <v>19</v>
      </c>
      <c r="G398">
        <v>10433</v>
      </c>
      <c r="H398">
        <v>4525</v>
      </c>
      <c r="I398">
        <v>3.29</v>
      </c>
      <c r="J398">
        <v>108</v>
      </c>
      <c r="M398" t="str">
        <f t="shared" ca="1" si="24"/>
        <v/>
      </c>
      <c r="N398" s="3" t="str" cm="1">
        <f t="array" ref="N398">_xlfn.IFS(I398&gt;=3.5,"Excellent",I398&gt;=3,"Good",I398&gt;=2,"Average",I398&lt;2,"Poor")</f>
        <v>Good</v>
      </c>
      <c r="P398" t="str">
        <f t="shared" si="25"/>
        <v/>
      </c>
      <c r="Q398">
        <f t="shared" si="26"/>
        <v>580394</v>
      </c>
      <c r="R398">
        <v>2022</v>
      </c>
      <c r="X398">
        <f t="shared" ca="1" si="27"/>
        <v>1003</v>
      </c>
    </row>
    <row r="399" spans="1:24" x14ac:dyDescent="0.25">
      <c r="A399" t="s">
        <v>819</v>
      </c>
      <c r="B399" t="s">
        <v>820</v>
      </c>
      <c r="C399" t="s">
        <v>12</v>
      </c>
      <c r="D399" t="s">
        <v>62</v>
      </c>
      <c r="E399" s="1">
        <v>44945</v>
      </c>
      <c r="F399" t="s">
        <v>14</v>
      </c>
      <c r="G399">
        <v>7176</v>
      </c>
      <c r="H399">
        <v>6289</v>
      </c>
      <c r="I399">
        <v>2.74</v>
      </c>
      <c r="J399">
        <v>8</v>
      </c>
      <c r="M399">
        <f t="shared" ca="1" si="24"/>
        <v>904</v>
      </c>
      <c r="N399" s="3" t="str" cm="1">
        <f t="array" ref="N399">_xlfn.IFS(I399&gt;=3.5,"Excellent",I399&gt;=3,"Good",I399&gt;=2,"Average",I399&lt;2,"Poor")</f>
        <v>Average</v>
      </c>
      <c r="P399" t="str">
        <f t="shared" si="25"/>
        <v>True</v>
      </c>
      <c r="Q399">
        <f t="shared" si="26"/>
        <v>580394</v>
      </c>
      <c r="R399">
        <v>2023</v>
      </c>
      <c r="X399" t="str">
        <f t="shared" ca="1" si="27"/>
        <v/>
      </c>
    </row>
    <row r="400" spans="1:24" x14ac:dyDescent="0.25">
      <c r="A400" t="s">
        <v>821</v>
      </c>
      <c r="B400" t="s">
        <v>822</v>
      </c>
      <c r="C400" t="s">
        <v>12</v>
      </c>
      <c r="D400" t="s">
        <v>31</v>
      </c>
      <c r="E400" s="1">
        <v>45209</v>
      </c>
      <c r="F400" t="s">
        <v>19</v>
      </c>
      <c r="G400">
        <v>4923</v>
      </c>
      <c r="H400">
        <v>4054</v>
      </c>
      <c r="I400">
        <v>2.95</v>
      </c>
      <c r="J400">
        <v>47</v>
      </c>
      <c r="M400" t="str">
        <f t="shared" ca="1" si="24"/>
        <v/>
      </c>
      <c r="N400" s="3" t="str" cm="1">
        <f t="array" ref="N400">_xlfn.IFS(I400&gt;=3.5,"Excellent",I400&gt;=3,"Good",I400&gt;=2,"Average",I400&lt;2,"Poor")</f>
        <v>Average</v>
      </c>
      <c r="P400" t="str">
        <f t="shared" si="25"/>
        <v>True</v>
      </c>
      <c r="Q400">
        <f t="shared" si="26"/>
        <v>580394</v>
      </c>
      <c r="R400">
        <v>2023</v>
      </c>
      <c r="X400">
        <f t="shared" ca="1" si="27"/>
        <v>640</v>
      </c>
    </row>
    <row r="401" spans="1:24" x14ac:dyDescent="0.25">
      <c r="A401" t="s">
        <v>823</v>
      </c>
      <c r="B401" t="s">
        <v>824</v>
      </c>
      <c r="C401" t="s">
        <v>25</v>
      </c>
      <c r="D401" t="s">
        <v>18</v>
      </c>
      <c r="E401" s="1">
        <v>45169</v>
      </c>
      <c r="F401" t="s">
        <v>14</v>
      </c>
      <c r="G401">
        <v>11530</v>
      </c>
      <c r="H401">
        <v>8184</v>
      </c>
      <c r="I401">
        <v>2.92</v>
      </c>
      <c r="J401">
        <v>39</v>
      </c>
      <c r="M401">
        <f t="shared" ca="1" si="24"/>
        <v>680</v>
      </c>
      <c r="N401" s="3" t="str" cm="1">
        <f t="array" ref="N401">_xlfn.IFS(I401&gt;=3.5,"Excellent",I401&gt;=3,"Good",I401&gt;=2,"Average",I401&lt;2,"Poor")</f>
        <v>Average</v>
      </c>
      <c r="P401" t="str">
        <f t="shared" si="25"/>
        <v>True</v>
      </c>
      <c r="Q401">
        <f t="shared" si="26"/>
        <v>580394</v>
      </c>
      <c r="R401">
        <v>2023</v>
      </c>
      <c r="X401" t="str">
        <f t="shared" ca="1" si="27"/>
        <v/>
      </c>
    </row>
    <row r="402" spans="1:24" x14ac:dyDescent="0.25">
      <c r="A402" t="s">
        <v>825</v>
      </c>
      <c r="B402" t="s">
        <v>826</v>
      </c>
      <c r="C402" t="s">
        <v>36</v>
      </c>
      <c r="D402" t="s">
        <v>18</v>
      </c>
      <c r="E402" s="1">
        <v>44882</v>
      </c>
      <c r="F402" t="s">
        <v>14</v>
      </c>
      <c r="G402">
        <v>8885</v>
      </c>
      <c r="H402">
        <v>7872</v>
      </c>
      <c r="I402">
        <v>3.05</v>
      </c>
      <c r="J402">
        <v>90</v>
      </c>
      <c r="M402">
        <f t="shared" ca="1" si="24"/>
        <v>967</v>
      </c>
      <c r="N402" s="3" t="str" cm="1">
        <f t="array" ref="N402">_xlfn.IFS(I402&gt;=3.5,"Excellent",I402&gt;=3,"Good",I402&gt;=2,"Average",I402&lt;2,"Poor")</f>
        <v>Good</v>
      </c>
      <c r="P402" t="str">
        <f t="shared" si="25"/>
        <v>True</v>
      </c>
      <c r="Q402">
        <f t="shared" si="26"/>
        <v>580394</v>
      </c>
      <c r="R402">
        <v>2022</v>
      </c>
      <c r="X402" t="str">
        <f t="shared" ca="1" si="27"/>
        <v/>
      </c>
    </row>
    <row r="403" spans="1:24" x14ac:dyDescent="0.25">
      <c r="A403" t="s">
        <v>827</v>
      </c>
      <c r="B403" t="s">
        <v>828</v>
      </c>
      <c r="C403" t="s">
        <v>54</v>
      </c>
      <c r="D403" t="s">
        <v>31</v>
      </c>
      <c r="E403" s="1">
        <v>45451</v>
      </c>
      <c r="F403" t="s">
        <v>14</v>
      </c>
      <c r="G403">
        <v>10284</v>
      </c>
      <c r="H403">
        <v>3331</v>
      </c>
      <c r="I403">
        <v>2.88</v>
      </c>
      <c r="J403">
        <v>39</v>
      </c>
      <c r="M403">
        <f t="shared" ca="1" si="24"/>
        <v>398</v>
      </c>
      <c r="N403" s="3" t="str" cm="1">
        <f t="array" ref="N403">_xlfn.IFS(I403&gt;=3.5,"Excellent",I403&gt;=3,"Good",I403&gt;=2,"Average",I403&lt;2,"Poor")</f>
        <v>Average</v>
      </c>
      <c r="P403" t="str">
        <f t="shared" si="25"/>
        <v/>
      </c>
      <c r="Q403">
        <f t="shared" si="26"/>
        <v>580394</v>
      </c>
      <c r="R403">
        <v>2024</v>
      </c>
      <c r="X403" t="str">
        <f t="shared" ca="1" si="27"/>
        <v/>
      </c>
    </row>
    <row r="404" spans="1:24" x14ac:dyDescent="0.25">
      <c r="A404" t="s">
        <v>829</v>
      </c>
      <c r="B404" t="s">
        <v>830</v>
      </c>
      <c r="C404" t="s">
        <v>36</v>
      </c>
      <c r="D404" t="s">
        <v>62</v>
      </c>
      <c r="E404" s="1">
        <v>44995</v>
      </c>
      <c r="F404" t="s">
        <v>19</v>
      </c>
      <c r="G404">
        <v>3783</v>
      </c>
      <c r="H404">
        <v>2017</v>
      </c>
      <c r="I404">
        <v>3.28</v>
      </c>
      <c r="J404">
        <v>88</v>
      </c>
      <c r="M404" t="str">
        <f t="shared" ca="1" si="24"/>
        <v/>
      </c>
      <c r="N404" s="3" t="str" cm="1">
        <f t="array" ref="N404">_xlfn.IFS(I404&gt;=3.5,"Excellent",I404&gt;=3,"Good",I404&gt;=2,"Average",I404&lt;2,"Poor")</f>
        <v>Good</v>
      </c>
      <c r="P404" t="str">
        <f t="shared" si="25"/>
        <v>True</v>
      </c>
      <c r="Q404">
        <f t="shared" si="26"/>
        <v>580394</v>
      </c>
      <c r="R404">
        <v>2023</v>
      </c>
      <c r="X404">
        <f t="shared" ca="1" si="27"/>
        <v>854</v>
      </c>
    </row>
    <row r="405" spans="1:24" x14ac:dyDescent="0.25">
      <c r="A405" t="s">
        <v>831</v>
      </c>
      <c r="B405" t="s">
        <v>832</v>
      </c>
      <c r="C405" t="s">
        <v>57</v>
      </c>
      <c r="D405" t="s">
        <v>31</v>
      </c>
      <c r="E405" s="1">
        <v>45263</v>
      </c>
      <c r="F405" t="s">
        <v>39</v>
      </c>
      <c r="G405">
        <v>2286</v>
      </c>
      <c r="H405">
        <v>5321</v>
      </c>
      <c r="I405">
        <v>2.81</v>
      </c>
      <c r="J405">
        <v>111</v>
      </c>
      <c r="M405" t="str">
        <f t="shared" ca="1" si="24"/>
        <v/>
      </c>
      <c r="N405" s="3" t="str" cm="1">
        <f t="array" ref="N405">_xlfn.IFS(I405&gt;=3.5,"Excellent",I405&gt;=3,"Good",I405&gt;=2,"Average",I405&lt;2,"Poor")</f>
        <v>Average</v>
      </c>
      <c r="P405" t="str">
        <f t="shared" si="25"/>
        <v>True</v>
      </c>
      <c r="Q405">
        <f t="shared" si="26"/>
        <v>580394</v>
      </c>
      <c r="R405">
        <v>2023</v>
      </c>
      <c r="X405" t="str">
        <f t="shared" ca="1" si="27"/>
        <v/>
      </c>
    </row>
    <row r="406" spans="1:24" x14ac:dyDescent="0.25">
      <c r="A406" t="s">
        <v>833</v>
      </c>
      <c r="B406" t="s">
        <v>834</v>
      </c>
      <c r="C406" t="s">
        <v>28</v>
      </c>
      <c r="D406" t="s">
        <v>13</v>
      </c>
      <c r="E406" s="1">
        <v>44916</v>
      </c>
      <c r="F406" t="s">
        <v>14</v>
      </c>
      <c r="G406">
        <v>6531</v>
      </c>
      <c r="H406">
        <v>6344</v>
      </c>
      <c r="I406">
        <v>3.86</v>
      </c>
      <c r="J406">
        <v>36</v>
      </c>
      <c r="M406">
        <f t="shared" ca="1" si="24"/>
        <v>933</v>
      </c>
      <c r="N406" s="3" t="str" cm="1">
        <f t="array" ref="N406">_xlfn.IFS(I406&gt;=3.5,"Excellent",I406&gt;=3,"Good",I406&gt;=2,"Average",I406&lt;2,"Poor")</f>
        <v>Excellent</v>
      </c>
      <c r="P406" t="str">
        <f t="shared" si="25"/>
        <v>True</v>
      </c>
      <c r="Q406">
        <f t="shared" si="26"/>
        <v>580394</v>
      </c>
      <c r="R406">
        <v>2022</v>
      </c>
      <c r="X406" t="str">
        <f t="shared" ca="1" si="27"/>
        <v/>
      </c>
    </row>
    <row r="407" spans="1:24" x14ac:dyDescent="0.25">
      <c r="A407" t="s">
        <v>835</v>
      </c>
      <c r="B407" t="s">
        <v>836</v>
      </c>
      <c r="C407" t="s">
        <v>28</v>
      </c>
      <c r="D407" t="s">
        <v>13</v>
      </c>
      <c r="E407" s="1">
        <v>44674</v>
      </c>
      <c r="F407" t="s">
        <v>14</v>
      </c>
      <c r="G407">
        <v>5496</v>
      </c>
      <c r="H407">
        <v>3092</v>
      </c>
      <c r="I407">
        <v>3.83</v>
      </c>
      <c r="J407">
        <v>71</v>
      </c>
      <c r="M407">
        <f t="shared" ca="1" si="24"/>
        <v>1175</v>
      </c>
      <c r="N407" s="3" t="str" cm="1">
        <f t="array" ref="N407">_xlfn.IFS(I407&gt;=3.5,"Excellent",I407&gt;=3,"Good",I407&gt;=2,"Average",I407&lt;2,"Poor")</f>
        <v>Excellent</v>
      </c>
      <c r="P407" t="str">
        <f t="shared" si="25"/>
        <v>True</v>
      </c>
      <c r="Q407">
        <f t="shared" si="26"/>
        <v>580394</v>
      </c>
      <c r="R407">
        <v>2022</v>
      </c>
      <c r="X407" t="str">
        <f t="shared" ca="1" si="27"/>
        <v/>
      </c>
    </row>
    <row r="408" spans="1:24" x14ac:dyDescent="0.25">
      <c r="A408" t="s">
        <v>837</v>
      </c>
      <c r="B408" t="s">
        <v>838</v>
      </c>
      <c r="C408" t="s">
        <v>54</v>
      </c>
      <c r="D408" t="s">
        <v>13</v>
      </c>
      <c r="E408" s="1">
        <v>44681</v>
      </c>
      <c r="F408" t="s">
        <v>14</v>
      </c>
      <c r="G408">
        <v>8341</v>
      </c>
      <c r="H408">
        <v>2639</v>
      </c>
      <c r="I408">
        <v>3.15</v>
      </c>
      <c r="J408">
        <v>39</v>
      </c>
      <c r="M408">
        <f t="shared" ca="1" si="24"/>
        <v>1168</v>
      </c>
      <c r="N408" s="3" t="str" cm="1">
        <f t="array" ref="N408">_xlfn.IFS(I408&gt;=3.5,"Excellent",I408&gt;=3,"Good",I408&gt;=2,"Average",I408&lt;2,"Poor")</f>
        <v>Good</v>
      </c>
      <c r="P408" t="str">
        <f t="shared" si="25"/>
        <v/>
      </c>
      <c r="Q408">
        <f t="shared" si="26"/>
        <v>580394</v>
      </c>
      <c r="R408">
        <v>2022</v>
      </c>
      <c r="X408" t="str">
        <f t="shared" ca="1" si="27"/>
        <v/>
      </c>
    </row>
    <row r="409" spans="1:24" x14ac:dyDescent="0.25">
      <c r="A409" t="s">
        <v>839</v>
      </c>
      <c r="B409" t="s">
        <v>840</v>
      </c>
      <c r="C409" t="s">
        <v>54</v>
      </c>
      <c r="D409" t="s">
        <v>18</v>
      </c>
      <c r="E409" s="1">
        <v>44767</v>
      </c>
      <c r="F409" t="s">
        <v>19</v>
      </c>
      <c r="G409">
        <v>3900</v>
      </c>
      <c r="H409">
        <v>8192</v>
      </c>
      <c r="I409">
        <v>3.46</v>
      </c>
      <c r="J409">
        <v>1</v>
      </c>
      <c r="M409" t="str">
        <f t="shared" ca="1" si="24"/>
        <v/>
      </c>
      <c r="N409" s="3" t="str" cm="1">
        <f t="array" ref="N409">_xlfn.IFS(I409&gt;=3.5,"Excellent",I409&gt;=3,"Good",I409&gt;=2,"Average",I409&lt;2,"Poor")</f>
        <v>Good</v>
      </c>
      <c r="P409" t="str">
        <f t="shared" si="25"/>
        <v>True</v>
      </c>
      <c r="Q409">
        <f t="shared" si="26"/>
        <v>580394</v>
      </c>
      <c r="R409">
        <v>2022</v>
      </c>
      <c r="X409">
        <f t="shared" ca="1" si="27"/>
        <v>1082</v>
      </c>
    </row>
    <row r="410" spans="1:24" x14ac:dyDescent="0.25">
      <c r="A410" t="s">
        <v>841</v>
      </c>
      <c r="B410" t="s">
        <v>842</v>
      </c>
      <c r="C410" t="s">
        <v>28</v>
      </c>
      <c r="D410" t="s">
        <v>13</v>
      </c>
      <c r="E410" s="1">
        <v>45451</v>
      </c>
      <c r="F410" t="s">
        <v>19</v>
      </c>
      <c r="G410">
        <v>10931</v>
      </c>
      <c r="H410">
        <v>768</v>
      </c>
      <c r="I410">
        <v>3.3</v>
      </c>
      <c r="J410">
        <v>97</v>
      </c>
      <c r="M410" t="str">
        <f t="shared" ca="1" si="24"/>
        <v/>
      </c>
      <c r="N410" s="3" t="str" cm="1">
        <f t="array" ref="N410">_xlfn.IFS(I410&gt;=3.5,"Excellent",I410&gt;=3,"Good",I410&gt;=2,"Average",I410&lt;2,"Poor")</f>
        <v>Good</v>
      </c>
      <c r="P410" t="str">
        <f t="shared" si="25"/>
        <v/>
      </c>
      <c r="Q410">
        <f t="shared" si="26"/>
        <v>576494</v>
      </c>
      <c r="R410">
        <v>2024</v>
      </c>
      <c r="X410">
        <f t="shared" ca="1" si="27"/>
        <v>398</v>
      </c>
    </row>
    <row r="411" spans="1:24" x14ac:dyDescent="0.25">
      <c r="A411" t="s">
        <v>843</v>
      </c>
      <c r="B411" t="s">
        <v>844</v>
      </c>
      <c r="C411" t="s">
        <v>28</v>
      </c>
      <c r="D411" t="s">
        <v>13</v>
      </c>
      <c r="E411" s="1">
        <v>45199</v>
      </c>
      <c r="F411" t="s">
        <v>14</v>
      </c>
      <c r="G411">
        <v>13786</v>
      </c>
      <c r="H411">
        <v>8660</v>
      </c>
      <c r="I411">
        <v>2.0499999999999998</v>
      </c>
      <c r="J411">
        <v>59</v>
      </c>
      <c r="M411">
        <f t="shared" ca="1" si="24"/>
        <v>650</v>
      </c>
      <c r="N411" s="3" t="str" cm="1">
        <f t="array" ref="N411">_xlfn.IFS(I411&gt;=3.5,"Excellent",I411&gt;=3,"Good",I411&gt;=2,"Average",I411&lt;2,"Poor")</f>
        <v>Average</v>
      </c>
      <c r="P411" t="str">
        <f t="shared" si="25"/>
        <v>True</v>
      </c>
      <c r="Q411">
        <f t="shared" si="26"/>
        <v>576494</v>
      </c>
      <c r="R411">
        <v>2023</v>
      </c>
      <c r="X411" t="str">
        <f t="shared" ca="1" si="27"/>
        <v/>
      </c>
    </row>
    <row r="412" spans="1:24" x14ac:dyDescent="0.25">
      <c r="A412" t="s">
        <v>845</v>
      </c>
      <c r="B412" t="s">
        <v>846</v>
      </c>
      <c r="C412" t="s">
        <v>28</v>
      </c>
      <c r="D412" t="s">
        <v>62</v>
      </c>
      <c r="E412" s="1">
        <v>45359</v>
      </c>
      <c r="F412" t="s">
        <v>19</v>
      </c>
      <c r="G412">
        <v>7556</v>
      </c>
      <c r="H412">
        <v>4121</v>
      </c>
      <c r="I412">
        <v>2.62</v>
      </c>
      <c r="J412">
        <v>109</v>
      </c>
      <c r="M412" t="str">
        <f t="shared" ca="1" si="24"/>
        <v/>
      </c>
      <c r="N412" s="3" t="str" cm="1">
        <f t="array" ref="N412">_xlfn.IFS(I412&gt;=3.5,"Excellent",I412&gt;=3,"Good",I412&gt;=2,"Average",I412&lt;2,"Poor")</f>
        <v>Average</v>
      </c>
      <c r="P412" t="str">
        <f t="shared" si="25"/>
        <v>True</v>
      </c>
      <c r="Q412">
        <f t="shared" si="26"/>
        <v>576494</v>
      </c>
      <c r="R412">
        <v>2024</v>
      </c>
      <c r="X412">
        <f t="shared" ca="1" si="27"/>
        <v>490</v>
      </c>
    </row>
    <row r="413" spans="1:24" x14ac:dyDescent="0.25">
      <c r="A413" t="s">
        <v>847</v>
      </c>
      <c r="B413" t="s">
        <v>848</v>
      </c>
      <c r="C413" t="s">
        <v>12</v>
      </c>
      <c r="D413" t="s">
        <v>62</v>
      </c>
      <c r="E413" s="1">
        <v>45088</v>
      </c>
      <c r="F413" t="s">
        <v>14</v>
      </c>
      <c r="G413">
        <v>2531</v>
      </c>
      <c r="H413">
        <v>864</v>
      </c>
      <c r="I413">
        <v>2.9</v>
      </c>
      <c r="J413">
        <v>20</v>
      </c>
      <c r="M413">
        <f t="shared" ca="1" si="24"/>
        <v>761</v>
      </c>
      <c r="N413" s="3" t="str" cm="1">
        <f t="array" ref="N413">_xlfn.IFS(I413&gt;=3.5,"Excellent",I413&gt;=3,"Good",I413&gt;=2,"Average",I413&lt;2,"Poor")</f>
        <v>Average</v>
      </c>
      <c r="P413" t="str">
        <f t="shared" si="25"/>
        <v/>
      </c>
      <c r="Q413">
        <f t="shared" si="26"/>
        <v>576494</v>
      </c>
      <c r="R413">
        <v>2023</v>
      </c>
      <c r="X413" t="str">
        <f t="shared" ca="1" si="27"/>
        <v/>
      </c>
    </row>
    <row r="414" spans="1:24" x14ac:dyDescent="0.25">
      <c r="A414" t="s">
        <v>849</v>
      </c>
      <c r="B414" t="s">
        <v>850</v>
      </c>
      <c r="C414" t="s">
        <v>25</v>
      </c>
      <c r="D414" t="s">
        <v>62</v>
      </c>
      <c r="E414" s="1">
        <v>45139</v>
      </c>
      <c r="F414" t="s">
        <v>14</v>
      </c>
      <c r="G414">
        <v>11002</v>
      </c>
      <c r="H414">
        <v>7136</v>
      </c>
      <c r="I414">
        <v>3.77</v>
      </c>
      <c r="J414">
        <v>43</v>
      </c>
      <c r="M414">
        <f t="shared" ca="1" si="24"/>
        <v>710</v>
      </c>
      <c r="N414" s="3" t="str" cm="1">
        <f t="array" ref="N414">_xlfn.IFS(I414&gt;=3.5,"Excellent",I414&gt;=3,"Good",I414&gt;=2,"Average",I414&lt;2,"Poor")</f>
        <v>Excellent</v>
      </c>
      <c r="P414" t="str">
        <f t="shared" si="25"/>
        <v>True</v>
      </c>
      <c r="Q414">
        <f t="shared" si="26"/>
        <v>576494</v>
      </c>
      <c r="R414">
        <v>2023</v>
      </c>
      <c r="X414" t="str">
        <f t="shared" ca="1" si="27"/>
        <v/>
      </c>
    </row>
    <row r="415" spans="1:24" x14ac:dyDescent="0.25">
      <c r="A415" t="s">
        <v>851</v>
      </c>
      <c r="B415" t="s">
        <v>852</v>
      </c>
      <c r="C415" t="s">
        <v>36</v>
      </c>
      <c r="D415" t="s">
        <v>13</v>
      </c>
      <c r="E415" s="1">
        <v>44950</v>
      </c>
      <c r="F415" t="s">
        <v>14</v>
      </c>
      <c r="G415">
        <v>11863</v>
      </c>
      <c r="H415">
        <v>3622</v>
      </c>
      <c r="I415">
        <v>3.98</v>
      </c>
      <c r="J415">
        <v>31</v>
      </c>
      <c r="M415">
        <f t="shared" ca="1" si="24"/>
        <v>899</v>
      </c>
      <c r="N415" s="3" t="str" cm="1">
        <f t="array" ref="N415">_xlfn.IFS(I415&gt;=3.5,"Excellent",I415&gt;=3,"Good",I415&gt;=2,"Average",I415&lt;2,"Poor")</f>
        <v>Excellent</v>
      </c>
      <c r="P415" t="str">
        <f t="shared" si="25"/>
        <v/>
      </c>
      <c r="Q415">
        <f t="shared" si="26"/>
        <v>576494</v>
      </c>
      <c r="R415">
        <v>2023</v>
      </c>
      <c r="X415" t="str">
        <f t="shared" ca="1" si="27"/>
        <v/>
      </c>
    </row>
    <row r="416" spans="1:24" x14ac:dyDescent="0.25">
      <c r="A416" t="s">
        <v>853</v>
      </c>
      <c r="B416" t="s">
        <v>854</v>
      </c>
      <c r="C416" t="s">
        <v>17</v>
      </c>
      <c r="D416" t="s">
        <v>13</v>
      </c>
      <c r="E416" s="1">
        <v>44906</v>
      </c>
      <c r="F416" t="s">
        <v>14</v>
      </c>
      <c r="G416">
        <v>2264</v>
      </c>
      <c r="H416">
        <v>9265</v>
      </c>
      <c r="I416">
        <v>2.16</v>
      </c>
      <c r="J416">
        <v>73</v>
      </c>
      <c r="M416">
        <f t="shared" ca="1" si="24"/>
        <v>943</v>
      </c>
      <c r="N416" s="3" t="str" cm="1">
        <f t="array" ref="N416">_xlfn.IFS(I416&gt;=3.5,"Excellent",I416&gt;=3,"Good",I416&gt;=2,"Average",I416&lt;2,"Poor")</f>
        <v>Average</v>
      </c>
      <c r="P416" t="str">
        <f t="shared" si="25"/>
        <v>True</v>
      </c>
      <c r="Q416">
        <f t="shared" si="26"/>
        <v>576494</v>
      </c>
      <c r="R416">
        <v>2022</v>
      </c>
      <c r="X416" t="str">
        <f t="shared" ca="1" si="27"/>
        <v/>
      </c>
    </row>
    <row r="417" spans="1:24" x14ac:dyDescent="0.25">
      <c r="A417" t="s">
        <v>855</v>
      </c>
      <c r="B417" t="s">
        <v>856</v>
      </c>
      <c r="C417" t="s">
        <v>22</v>
      </c>
      <c r="D417" t="s">
        <v>31</v>
      </c>
      <c r="E417" s="1">
        <v>44899</v>
      </c>
      <c r="F417" t="s">
        <v>14</v>
      </c>
      <c r="G417">
        <v>10950</v>
      </c>
      <c r="H417">
        <v>9633</v>
      </c>
      <c r="I417">
        <v>2.75</v>
      </c>
      <c r="J417">
        <v>103</v>
      </c>
      <c r="M417">
        <f t="shared" ca="1" si="24"/>
        <v>950</v>
      </c>
      <c r="N417" s="3" t="str" cm="1">
        <f t="array" ref="N417">_xlfn.IFS(I417&gt;=3.5,"Excellent",I417&gt;=3,"Good",I417&gt;=2,"Average",I417&lt;2,"Poor")</f>
        <v>Average</v>
      </c>
      <c r="P417" t="str">
        <f t="shared" si="25"/>
        <v>True</v>
      </c>
      <c r="Q417">
        <f t="shared" si="26"/>
        <v>576494</v>
      </c>
      <c r="R417">
        <v>2022</v>
      </c>
      <c r="X417" t="str">
        <f t="shared" ca="1" si="27"/>
        <v/>
      </c>
    </row>
    <row r="418" spans="1:24" x14ac:dyDescent="0.25">
      <c r="A418" t="s">
        <v>857</v>
      </c>
      <c r="B418" t="s">
        <v>858</v>
      </c>
      <c r="C418" t="s">
        <v>54</v>
      </c>
      <c r="D418" t="s">
        <v>18</v>
      </c>
      <c r="E418" s="1">
        <v>44826</v>
      </c>
      <c r="F418" t="s">
        <v>14</v>
      </c>
      <c r="G418">
        <v>14054</v>
      </c>
      <c r="H418">
        <v>2816</v>
      </c>
      <c r="I418">
        <v>3.16</v>
      </c>
      <c r="J418">
        <v>72</v>
      </c>
      <c r="M418">
        <f t="shared" ca="1" si="24"/>
        <v>1023</v>
      </c>
      <c r="N418" s="3" t="str" cm="1">
        <f t="array" ref="N418">_xlfn.IFS(I418&gt;=3.5,"Excellent",I418&gt;=3,"Good",I418&gt;=2,"Average",I418&lt;2,"Poor")</f>
        <v>Good</v>
      </c>
      <c r="P418" t="str">
        <f t="shared" si="25"/>
        <v/>
      </c>
      <c r="Q418">
        <f t="shared" si="26"/>
        <v>576494</v>
      </c>
      <c r="R418">
        <v>2022</v>
      </c>
      <c r="X418" t="str">
        <f t="shared" ca="1" si="27"/>
        <v/>
      </c>
    </row>
    <row r="419" spans="1:24" x14ac:dyDescent="0.25">
      <c r="A419" t="s">
        <v>859</v>
      </c>
      <c r="B419" t="s">
        <v>860</v>
      </c>
      <c r="C419" t="s">
        <v>17</v>
      </c>
      <c r="D419" t="s">
        <v>13</v>
      </c>
      <c r="E419" s="1">
        <v>44822</v>
      </c>
      <c r="F419" t="s">
        <v>14</v>
      </c>
      <c r="G419">
        <v>3844</v>
      </c>
      <c r="H419">
        <v>3972</v>
      </c>
      <c r="I419">
        <v>2.31</v>
      </c>
      <c r="J419">
        <v>57</v>
      </c>
      <c r="M419">
        <f t="shared" ca="1" si="24"/>
        <v>1027</v>
      </c>
      <c r="N419" s="3" t="str" cm="1">
        <f t="array" ref="N419">_xlfn.IFS(I419&gt;=3.5,"Excellent",I419&gt;=3,"Good",I419&gt;=2,"Average",I419&lt;2,"Poor")</f>
        <v>Average</v>
      </c>
      <c r="P419" t="str">
        <f t="shared" si="25"/>
        <v>True</v>
      </c>
      <c r="Q419">
        <f t="shared" si="26"/>
        <v>576494</v>
      </c>
      <c r="R419">
        <v>2022</v>
      </c>
      <c r="X419" t="str">
        <f t="shared" ca="1" si="27"/>
        <v/>
      </c>
    </row>
    <row r="420" spans="1:24" x14ac:dyDescent="0.25">
      <c r="A420" t="s">
        <v>861</v>
      </c>
      <c r="B420" t="s">
        <v>862</v>
      </c>
      <c r="C420" t="s">
        <v>17</v>
      </c>
      <c r="D420" t="s">
        <v>62</v>
      </c>
      <c r="E420" s="1">
        <v>44627</v>
      </c>
      <c r="F420" t="s">
        <v>19</v>
      </c>
      <c r="G420">
        <v>5442</v>
      </c>
      <c r="H420">
        <v>4647</v>
      </c>
      <c r="I420">
        <v>2.83</v>
      </c>
      <c r="J420">
        <v>23</v>
      </c>
      <c r="M420" t="str">
        <f t="shared" ca="1" si="24"/>
        <v/>
      </c>
      <c r="N420" s="3" t="str" cm="1">
        <f t="array" ref="N420">_xlfn.IFS(I420&gt;=3.5,"Excellent",I420&gt;=3,"Good",I420&gt;=2,"Average",I420&lt;2,"Poor")</f>
        <v>Average</v>
      </c>
      <c r="P420" t="str">
        <f t="shared" si="25"/>
        <v>True</v>
      </c>
      <c r="Q420">
        <f t="shared" si="26"/>
        <v>576494</v>
      </c>
      <c r="R420">
        <v>2022</v>
      </c>
      <c r="X420">
        <f t="shared" ca="1" si="27"/>
        <v>1222</v>
      </c>
    </row>
    <row r="421" spans="1:24" x14ac:dyDescent="0.25">
      <c r="A421" t="s">
        <v>863</v>
      </c>
      <c r="B421" t="s">
        <v>864</v>
      </c>
      <c r="C421" t="s">
        <v>28</v>
      </c>
      <c r="D421" t="s">
        <v>18</v>
      </c>
      <c r="E421" s="1">
        <v>44745</v>
      </c>
      <c r="F421" t="s">
        <v>14</v>
      </c>
      <c r="G421">
        <v>6199</v>
      </c>
      <c r="H421">
        <v>3078</v>
      </c>
      <c r="I421">
        <v>3.4</v>
      </c>
      <c r="J421">
        <v>118</v>
      </c>
      <c r="M421">
        <f t="shared" ca="1" si="24"/>
        <v>1104</v>
      </c>
      <c r="N421" s="3" t="str" cm="1">
        <f t="array" ref="N421">_xlfn.IFS(I421&gt;=3.5,"Excellent",I421&gt;=3,"Good",I421&gt;=2,"Average",I421&lt;2,"Poor")</f>
        <v>Good</v>
      </c>
      <c r="P421" t="str">
        <f t="shared" si="25"/>
        <v/>
      </c>
      <c r="Q421">
        <f t="shared" si="26"/>
        <v>576494</v>
      </c>
      <c r="R421">
        <v>2022</v>
      </c>
      <c r="X421" t="str">
        <f t="shared" ca="1" si="27"/>
        <v/>
      </c>
    </row>
    <row r="422" spans="1:24" x14ac:dyDescent="0.25">
      <c r="A422" t="s">
        <v>865</v>
      </c>
      <c r="B422" t="s">
        <v>866</v>
      </c>
      <c r="C422" t="s">
        <v>25</v>
      </c>
      <c r="D422" t="s">
        <v>18</v>
      </c>
      <c r="E422" s="1">
        <v>45394</v>
      </c>
      <c r="F422" t="s">
        <v>14</v>
      </c>
      <c r="G422">
        <v>14814</v>
      </c>
      <c r="H422">
        <v>8975</v>
      </c>
      <c r="I422">
        <v>3.52</v>
      </c>
      <c r="J422">
        <v>109</v>
      </c>
      <c r="M422">
        <f t="shared" ca="1" si="24"/>
        <v>455</v>
      </c>
      <c r="N422" s="3" t="str" cm="1">
        <f t="array" ref="N422">_xlfn.IFS(I422&gt;=3.5,"Excellent",I422&gt;=3,"Good",I422&gt;=2,"Average",I422&lt;2,"Poor")</f>
        <v>Excellent</v>
      </c>
      <c r="P422" t="str">
        <f t="shared" si="25"/>
        <v>True</v>
      </c>
      <c r="Q422">
        <f t="shared" si="26"/>
        <v>576494</v>
      </c>
      <c r="R422">
        <v>2024</v>
      </c>
      <c r="X422" t="str">
        <f t="shared" ca="1" si="27"/>
        <v/>
      </c>
    </row>
    <row r="423" spans="1:24" x14ac:dyDescent="0.25">
      <c r="A423" t="s">
        <v>867</v>
      </c>
      <c r="B423" t="s">
        <v>868</v>
      </c>
      <c r="C423" t="s">
        <v>12</v>
      </c>
      <c r="D423" t="s">
        <v>62</v>
      </c>
      <c r="E423" s="1">
        <v>45247</v>
      </c>
      <c r="F423" t="s">
        <v>19</v>
      </c>
      <c r="G423">
        <v>7031</v>
      </c>
      <c r="H423">
        <v>1727</v>
      </c>
      <c r="I423">
        <v>3.48</v>
      </c>
      <c r="J423">
        <v>25</v>
      </c>
      <c r="M423" t="str">
        <f t="shared" ca="1" si="24"/>
        <v/>
      </c>
      <c r="N423" s="3" t="str" cm="1">
        <f t="array" ref="N423">_xlfn.IFS(I423&gt;=3.5,"Excellent",I423&gt;=3,"Good",I423&gt;=2,"Average",I423&lt;2,"Poor")</f>
        <v>Good</v>
      </c>
      <c r="P423" t="str">
        <f t="shared" si="25"/>
        <v/>
      </c>
      <c r="Q423">
        <f t="shared" si="26"/>
        <v>576494</v>
      </c>
      <c r="R423">
        <v>2023</v>
      </c>
      <c r="X423">
        <f t="shared" ca="1" si="27"/>
        <v>602</v>
      </c>
    </row>
    <row r="424" spans="1:24" x14ac:dyDescent="0.25">
      <c r="A424" t="s">
        <v>869</v>
      </c>
      <c r="B424" t="s">
        <v>870</v>
      </c>
      <c r="C424" t="s">
        <v>36</v>
      </c>
      <c r="D424" t="s">
        <v>13</v>
      </c>
      <c r="E424" s="1">
        <v>44758</v>
      </c>
      <c r="F424" t="s">
        <v>14</v>
      </c>
      <c r="G424">
        <v>12388</v>
      </c>
      <c r="H424">
        <v>9027</v>
      </c>
      <c r="I424">
        <v>2.42</v>
      </c>
      <c r="J424">
        <v>93</v>
      </c>
      <c r="M424">
        <f t="shared" ca="1" si="24"/>
        <v>1091</v>
      </c>
      <c r="N424" s="3" t="str" cm="1">
        <f t="array" ref="N424">_xlfn.IFS(I424&gt;=3.5,"Excellent",I424&gt;=3,"Good",I424&gt;=2,"Average",I424&lt;2,"Poor")</f>
        <v>Average</v>
      </c>
      <c r="P424" t="str">
        <f t="shared" si="25"/>
        <v>True</v>
      </c>
      <c r="Q424">
        <f t="shared" si="26"/>
        <v>576494</v>
      </c>
      <c r="R424">
        <v>2022</v>
      </c>
      <c r="X424" t="str">
        <f t="shared" ca="1" si="27"/>
        <v/>
      </c>
    </row>
    <row r="425" spans="1:24" x14ac:dyDescent="0.25">
      <c r="A425" t="s">
        <v>871</v>
      </c>
      <c r="B425" t="s">
        <v>872</v>
      </c>
      <c r="C425" t="s">
        <v>54</v>
      </c>
      <c r="D425" t="s">
        <v>13</v>
      </c>
      <c r="E425" s="1">
        <v>45303</v>
      </c>
      <c r="F425" t="s">
        <v>19</v>
      </c>
      <c r="G425">
        <v>12003</v>
      </c>
      <c r="H425">
        <v>6828</v>
      </c>
      <c r="I425">
        <v>3.79</v>
      </c>
      <c r="J425">
        <v>69</v>
      </c>
      <c r="M425" t="str">
        <f t="shared" ca="1" si="24"/>
        <v/>
      </c>
      <c r="N425" s="3" t="str" cm="1">
        <f t="array" ref="N425">_xlfn.IFS(I425&gt;=3.5,"Excellent",I425&gt;=3,"Good",I425&gt;=2,"Average",I425&lt;2,"Poor")</f>
        <v>Excellent</v>
      </c>
      <c r="P425" t="str">
        <f t="shared" si="25"/>
        <v>True</v>
      </c>
      <c r="Q425">
        <f t="shared" si="26"/>
        <v>576494</v>
      </c>
      <c r="R425">
        <v>2024</v>
      </c>
      <c r="X425">
        <f t="shared" ca="1" si="27"/>
        <v>546</v>
      </c>
    </row>
    <row r="426" spans="1:24" x14ac:dyDescent="0.25">
      <c r="A426" t="s">
        <v>873</v>
      </c>
      <c r="B426" t="s">
        <v>874</v>
      </c>
      <c r="C426" t="s">
        <v>17</v>
      </c>
      <c r="D426" t="s">
        <v>31</v>
      </c>
      <c r="E426" s="1">
        <v>45119</v>
      </c>
      <c r="F426" t="s">
        <v>14</v>
      </c>
      <c r="G426">
        <v>11667</v>
      </c>
      <c r="H426">
        <v>4710</v>
      </c>
      <c r="I426">
        <v>2.02</v>
      </c>
      <c r="J426">
        <v>45</v>
      </c>
      <c r="M426">
        <f t="shared" ca="1" si="24"/>
        <v>730</v>
      </c>
      <c r="N426" s="3" t="str" cm="1">
        <f t="array" ref="N426">_xlfn.IFS(I426&gt;=3.5,"Excellent",I426&gt;=3,"Good",I426&gt;=2,"Average",I426&lt;2,"Poor")</f>
        <v>Average</v>
      </c>
      <c r="P426" t="str">
        <f t="shared" si="25"/>
        <v/>
      </c>
      <c r="Q426">
        <f t="shared" si="26"/>
        <v>576494</v>
      </c>
      <c r="R426">
        <v>2023</v>
      </c>
      <c r="X426" t="str">
        <f t="shared" ca="1" si="27"/>
        <v/>
      </c>
    </row>
    <row r="427" spans="1:24" x14ac:dyDescent="0.25">
      <c r="A427" t="s">
        <v>875</v>
      </c>
      <c r="B427" t="s">
        <v>876</v>
      </c>
      <c r="C427" t="s">
        <v>25</v>
      </c>
      <c r="D427" t="s">
        <v>62</v>
      </c>
      <c r="E427" s="1">
        <v>44714</v>
      </c>
      <c r="F427" t="s">
        <v>14</v>
      </c>
      <c r="G427">
        <v>12437</v>
      </c>
      <c r="H427">
        <v>4916</v>
      </c>
      <c r="I427">
        <v>2.25</v>
      </c>
      <c r="J427">
        <v>3</v>
      </c>
      <c r="M427">
        <f t="shared" ca="1" si="24"/>
        <v>1135</v>
      </c>
      <c r="N427" s="3" t="str" cm="1">
        <f t="array" ref="N427">_xlfn.IFS(I427&gt;=3.5,"Excellent",I427&gt;=3,"Good",I427&gt;=2,"Average",I427&lt;2,"Poor")</f>
        <v>Average</v>
      </c>
      <c r="P427" t="str">
        <f t="shared" si="25"/>
        <v/>
      </c>
      <c r="Q427">
        <f t="shared" si="26"/>
        <v>576494</v>
      </c>
      <c r="R427">
        <v>2022</v>
      </c>
      <c r="X427" t="str">
        <f t="shared" ca="1" si="27"/>
        <v/>
      </c>
    </row>
    <row r="428" spans="1:24" x14ac:dyDescent="0.25">
      <c r="A428" t="s">
        <v>877</v>
      </c>
      <c r="B428" t="s">
        <v>878</v>
      </c>
      <c r="C428" t="s">
        <v>28</v>
      </c>
      <c r="D428" t="s">
        <v>18</v>
      </c>
      <c r="E428" s="1">
        <v>45442</v>
      </c>
      <c r="F428" t="s">
        <v>14</v>
      </c>
      <c r="G428">
        <v>7135</v>
      </c>
      <c r="H428">
        <v>4567</v>
      </c>
      <c r="I428">
        <v>3.08</v>
      </c>
      <c r="J428">
        <v>66</v>
      </c>
      <c r="M428">
        <f t="shared" ca="1" si="24"/>
        <v>407</v>
      </c>
      <c r="N428" s="3" t="str" cm="1">
        <f t="array" ref="N428">_xlfn.IFS(I428&gt;=3.5,"Excellent",I428&gt;=3,"Good",I428&gt;=2,"Average",I428&lt;2,"Poor")</f>
        <v>Good</v>
      </c>
      <c r="P428" t="str">
        <f t="shared" si="25"/>
        <v>True</v>
      </c>
      <c r="Q428">
        <f t="shared" si="26"/>
        <v>576494</v>
      </c>
      <c r="R428">
        <v>2024</v>
      </c>
      <c r="X428" t="str">
        <f t="shared" ca="1" si="27"/>
        <v/>
      </c>
    </row>
    <row r="429" spans="1:24" x14ac:dyDescent="0.25">
      <c r="A429" t="s">
        <v>879</v>
      </c>
      <c r="B429" t="s">
        <v>880</v>
      </c>
      <c r="C429" t="s">
        <v>25</v>
      </c>
      <c r="D429" t="s">
        <v>13</v>
      </c>
      <c r="E429" s="1">
        <v>44969</v>
      </c>
      <c r="F429" t="s">
        <v>39</v>
      </c>
      <c r="G429">
        <v>13450</v>
      </c>
      <c r="H429">
        <v>2890</v>
      </c>
      <c r="I429">
        <v>2.15</v>
      </c>
      <c r="J429">
        <v>45</v>
      </c>
      <c r="M429" t="str">
        <f t="shared" ca="1" si="24"/>
        <v/>
      </c>
      <c r="N429" s="3" t="str" cm="1">
        <f t="array" ref="N429">_xlfn.IFS(I429&gt;=3.5,"Excellent",I429&gt;=3,"Good",I429&gt;=2,"Average",I429&lt;2,"Poor")</f>
        <v>Average</v>
      </c>
      <c r="P429" t="str">
        <f t="shared" si="25"/>
        <v/>
      </c>
      <c r="Q429">
        <f t="shared" si="26"/>
        <v>576494</v>
      </c>
      <c r="R429">
        <v>2023</v>
      </c>
      <c r="X429" t="str">
        <f t="shared" ca="1" si="27"/>
        <v/>
      </c>
    </row>
    <row r="430" spans="1:24" x14ac:dyDescent="0.25">
      <c r="A430" t="s">
        <v>881</v>
      </c>
      <c r="B430" t="s">
        <v>882</v>
      </c>
      <c r="C430" t="s">
        <v>25</v>
      </c>
      <c r="D430" t="s">
        <v>13</v>
      </c>
      <c r="E430" s="1">
        <v>44968</v>
      </c>
      <c r="F430" t="s">
        <v>19</v>
      </c>
      <c r="G430">
        <v>4844</v>
      </c>
      <c r="H430">
        <v>4629</v>
      </c>
      <c r="I430">
        <v>3.53</v>
      </c>
      <c r="J430">
        <v>42</v>
      </c>
      <c r="M430" t="str">
        <f t="shared" ca="1" si="24"/>
        <v/>
      </c>
      <c r="N430" s="3" t="str" cm="1">
        <f t="array" ref="N430">_xlfn.IFS(I430&gt;=3.5,"Excellent",I430&gt;=3,"Good",I430&gt;=2,"Average",I430&lt;2,"Poor")</f>
        <v>Excellent</v>
      </c>
      <c r="P430" t="str">
        <f t="shared" si="25"/>
        <v>True</v>
      </c>
      <c r="Q430">
        <f t="shared" si="26"/>
        <v>576494</v>
      </c>
      <c r="R430">
        <v>2023</v>
      </c>
      <c r="X430">
        <f t="shared" ca="1" si="27"/>
        <v>881</v>
      </c>
    </row>
    <row r="431" spans="1:24" x14ac:dyDescent="0.25">
      <c r="A431" t="s">
        <v>883</v>
      </c>
      <c r="B431" t="s">
        <v>884</v>
      </c>
      <c r="C431" t="s">
        <v>28</v>
      </c>
      <c r="D431" t="s">
        <v>18</v>
      </c>
      <c r="E431" s="1">
        <v>45001</v>
      </c>
      <c r="F431" t="s">
        <v>14</v>
      </c>
      <c r="G431">
        <v>6230</v>
      </c>
      <c r="H431">
        <v>9993</v>
      </c>
      <c r="I431">
        <v>3.22</v>
      </c>
      <c r="J431">
        <v>54</v>
      </c>
      <c r="M431">
        <f t="shared" ca="1" si="24"/>
        <v>848</v>
      </c>
      <c r="N431" s="3" t="str" cm="1">
        <f t="array" ref="N431">_xlfn.IFS(I431&gt;=3.5,"Excellent",I431&gt;=3,"Good",I431&gt;=2,"Average",I431&lt;2,"Poor")</f>
        <v>Good</v>
      </c>
      <c r="P431" t="str">
        <f t="shared" si="25"/>
        <v>True</v>
      </c>
      <c r="Q431">
        <f t="shared" si="26"/>
        <v>576494</v>
      </c>
      <c r="R431">
        <v>2023</v>
      </c>
      <c r="X431" t="str">
        <f t="shared" ca="1" si="27"/>
        <v/>
      </c>
    </row>
    <row r="432" spans="1:24" x14ac:dyDescent="0.25">
      <c r="A432" t="s">
        <v>885</v>
      </c>
      <c r="B432" t="s">
        <v>886</v>
      </c>
      <c r="C432" t="s">
        <v>25</v>
      </c>
      <c r="D432" t="s">
        <v>18</v>
      </c>
      <c r="E432" s="1">
        <v>44577</v>
      </c>
      <c r="F432" t="s">
        <v>14</v>
      </c>
      <c r="G432">
        <v>8045</v>
      </c>
      <c r="H432">
        <v>9544</v>
      </c>
      <c r="I432">
        <v>3.7</v>
      </c>
      <c r="J432">
        <v>112</v>
      </c>
      <c r="M432">
        <f t="shared" ca="1" si="24"/>
        <v>1272</v>
      </c>
      <c r="N432" s="3" t="str" cm="1">
        <f t="array" ref="N432">_xlfn.IFS(I432&gt;=3.5,"Excellent",I432&gt;=3,"Good",I432&gt;=2,"Average",I432&lt;2,"Poor")</f>
        <v>Excellent</v>
      </c>
      <c r="P432" t="str">
        <f t="shared" si="25"/>
        <v>True</v>
      </c>
      <c r="Q432">
        <f t="shared" si="26"/>
        <v>576494</v>
      </c>
      <c r="R432">
        <v>2022</v>
      </c>
      <c r="X432" t="str">
        <f t="shared" ca="1" si="27"/>
        <v/>
      </c>
    </row>
    <row r="433" spans="1:24" x14ac:dyDescent="0.25">
      <c r="A433" t="s">
        <v>887</v>
      </c>
      <c r="B433" t="s">
        <v>888</v>
      </c>
      <c r="C433" t="s">
        <v>25</v>
      </c>
      <c r="D433" t="s">
        <v>31</v>
      </c>
      <c r="E433" s="1">
        <v>45060</v>
      </c>
      <c r="F433" t="s">
        <v>14</v>
      </c>
      <c r="G433">
        <v>14341</v>
      </c>
      <c r="H433">
        <v>3156</v>
      </c>
      <c r="I433">
        <v>3.45</v>
      </c>
      <c r="J433">
        <v>34</v>
      </c>
      <c r="M433">
        <f t="shared" ca="1" si="24"/>
        <v>789</v>
      </c>
      <c r="N433" s="3" t="str" cm="1">
        <f t="array" ref="N433">_xlfn.IFS(I433&gt;=3.5,"Excellent",I433&gt;=3,"Good",I433&gt;=2,"Average",I433&lt;2,"Poor")</f>
        <v>Good</v>
      </c>
      <c r="P433" t="str">
        <f t="shared" si="25"/>
        <v/>
      </c>
      <c r="Q433">
        <f t="shared" si="26"/>
        <v>576494</v>
      </c>
      <c r="R433">
        <v>2023</v>
      </c>
      <c r="X433" t="str">
        <f t="shared" ca="1" si="27"/>
        <v/>
      </c>
    </row>
    <row r="434" spans="1:24" x14ac:dyDescent="0.25">
      <c r="A434" t="s">
        <v>889</v>
      </c>
      <c r="B434" t="s">
        <v>890</v>
      </c>
      <c r="C434" t="s">
        <v>12</v>
      </c>
      <c r="D434" t="s">
        <v>13</v>
      </c>
      <c r="E434" s="1">
        <v>45186</v>
      </c>
      <c r="F434" t="s">
        <v>39</v>
      </c>
      <c r="G434">
        <v>12361</v>
      </c>
      <c r="H434">
        <v>7447</v>
      </c>
      <c r="I434">
        <v>2.37</v>
      </c>
      <c r="J434">
        <v>62</v>
      </c>
      <c r="M434" t="str">
        <f t="shared" ca="1" si="24"/>
        <v/>
      </c>
      <c r="N434" s="3" t="str" cm="1">
        <f t="array" ref="N434">_xlfn.IFS(I434&gt;=3.5,"Excellent",I434&gt;=3,"Good",I434&gt;=2,"Average",I434&lt;2,"Poor")</f>
        <v>Average</v>
      </c>
      <c r="P434" t="str">
        <f t="shared" si="25"/>
        <v>True</v>
      </c>
      <c r="Q434">
        <f t="shared" si="26"/>
        <v>576494</v>
      </c>
      <c r="R434">
        <v>2023</v>
      </c>
      <c r="X434" t="str">
        <f t="shared" ca="1" si="27"/>
        <v/>
      </c>
    </row>
    <row r="435" spans="1:24" x14ac:dyDescent="0.25">
      <c r="A435" t="s">
        <v>891</v>
      </c>
      <c r="B435" t="s">
        <v>892</v>
      </c>
      <c r="C435" t="s">
        <v>17</v>
      </c>
      <c r="D435" t="s">
        <v>18</v>
      </c>
      <c r="E435" s="1">
        <v>45100</v>
      </c>
      <c r="F435" t="s">
        <v>14</v>
      </c>
      <c r="G435">
        <v>5539</v>
      </c>
      <c r="H435">
        <v>4162</v>
      </c>
      <c r="I435">
        <v>2.06</v>
      </c>
      <c r="J435">
        <v>41</v>
      </c>
      <c r="M435">
        <f t="shared" ca="1" si="24"/>
        <v>749</v>
      </c>
      <c r="N435" s="3" t="str" cm="1">
        <f t="array" ref="N435">_xlfn.IFS(I435&gt;=3.5,"Excellent",I435&gt;=3,"Good",I435&gt;=2,"Average",I435&lt;2,"Poor")</f>
        <v>Average</v>
      </c>
      <c r="P435" t="str">
        <f t="shared" si="25"/>
        <v>True</v>
      </c>
      <c r="Q435">
        <f t="shared" si="26"/>
        <v>576494</v>
      </c>
      <c r="R435">
        <v>2023</v>
      </c>
      <c r="X435" t="str">
        <f t="shared" ca="1" si="27"/>
        <v/>
      </c>
    </row>
    <row r="436" spans="1:24" x14ac:dyDescent="0.25">
      <c r="A436" t="s">
        <v>893</v>
      </c>
      <c r="B436" t="s">
        <v>894</v>
      </c>
      <c r="C436" t="s">
        <v>22</v>
      </c>
      <c r="D436" t="s">
        <v>18</v>
      </c>
      <c r="E436" s="1">
        <v>45111</v>
      </c>
      <c r="F436" t="s">
        <v>19</v>
      </c>
      <c r="G436">
        <v>9848</v>
      </c>
      <c r="H436">
        <v>4265</v>
      </c>
      <c r="I436">
        <v>3.47</v>
      </c>
      <c r="J436">
        <v>24</v>
      </c>
      <c r="M436" t="str">
        <f t="shared" ca="1" si="24"/>
        <v/>
      </c>
      <c r="N436" s="3" t="str" cm="1">
        <f t="array" ref="N436">_xlfn.IFS(I436&gt;=3.5,"Excellent",I436&gt;=3,"Good",I436&gt;=2,"Average",I436&lt;2,"Poor")</f>
        <v>Good</v>
      </c>
      <c r="P436" t="str">
        <f t="shared" si="25"/>
        <v/>
      </c>
      <c r="Q436">
        <f t="shared" si="26"/>
        <v>576494</v>
      </c>
      <c r="R436">
        <v>2023</v>
      </c>
      <c r="X436">
        <f t="shared" ca="1" si="27"/>
        <v>738</v>
      </c>
    </row>
    <row r="437" spans="1:24" x14ac:dyDescent="0.25">
      <c r="A437" t="s">
        <v>895</v>
      </c>
      <c r="B437" t="s">
        <v>896</v>
      </c>
      <c r="C437" t="s">
        <v>25</v>
      </c>
      <c r="D437" t="s">
        <v>31</v>
      </c>
      <c r="E437" s="1">
        <v>44763</v>
      </c>
      <c r="F437" t="s">
        <v>14</v>
      </c>
      <c r="G437">
        <v>3572</v>
      </c>
      <c r="H437">
        <v>2564</v>
      </c>
      <c r="I437">
        <v>2.58</v>
      </c>
      <c r="J437">
        <v>15</v>
      </c>
      <c r="M437">
        <f t="shared" ca="1" si="24"/>
        <v>1086</v>
      </c>
      <c r="N437" s="3" t="str" cm="1">
        <f t="array" ref="N437">_xlfn.IFS(I437&gt;=3.5,"Excellent",I437&gt;=3,"Good",I437&gt;=2,"Average",I437&lt;2,"Poor")</f>
        <v>Average</v>
      </c>
      <c r="P437" t="str">
        <f t="shared" si="25"/>
        <v>True</v>
      </c>
      <c r="Q437">
        <f t="shared" si="26"/>
        <v>566646</v>
      </c>
      <c r="R437">
        <v>2022</v>
      </c>
      <c r="X437" t="str">
        <f t="shared" ca="1" si="27"/>
        <v/>
      </c>
    </row>
    <row r="438" spans="1:24" x14ac:dyDescent="0.25">
      <c r="A438" t="s">
        <v>897</v>
      </c>
      <c r="B438" t="s">
        <v>898</v>
      </c>
      <c r="C438" t="s">
        <v>54</v>
      </c>
      <c r="D438" t="s">
        <v>31</v>
      </c>
      <c r="E438" s="1">
        <v>45382</v>
      </c>
      <c r="F438" t="s">
        <v>14</v>
      </c>
      <c r="G438">
        <v>10473</v>
      </c>
      <c r="H438">
        <v>6758</v>
      </c>
      <c r="I438">
        <v>2.06</v>
      </c>
      <c r="J438">
        <v>89</v>
      </c>
      <c r="M438">
        <f t="shared" ca="1" si="24"/>
        <v>467</v>
      </c>
      <c r="N438" s="3" t="str" cm="1">
        <f t="array" ref="N438">_xlfn.IFS(I438&gt;=3.5,"Excellent",I438&gt;=3,"Good",I438&gt;=2,"Average",I438&lt;2,"Poor")</f>
        <v>Average</v>
      </c>
      <c r="P438" t="str">
        <f t="shared" si="25"/>
        <v>True</v>
      </c>
      <c r="Q438">
        <f t="shared" si="26"/>
        <v>566646</v>
      </c>
      <c r="R438">
        <v>2024</v>
      </c>
      <c r="X438" t="str">
        <f t="shared" ca="1" si="27"/>
        <v/>
      </c>
    </row>
    <row r="439" spans="1:24" x14ac:dyDescent="0.25">
      <c r="A439" t="s">
        <v>899</v>
      </c>
      <c r="B439" t="s">
        <v>900</v>
      </c>
      <c r="C439" t="s">
        <v>54</v>
      </c>
      <c r="D439" t="s">
        <v>13</v>
      </c>
      <c r="E439" s="1">
        <v>45384</v>
      </c>
      <c r="F439" t="s">
        <v>14</v>
      </c>
      <c r="G439">
        <v>14206</v>
      </c>
      <c r="H439">
        <v>7664</v>
      </c>
      <c r="I439">
        <v>2.93</v>
      </c>
      <c r="J439">
        <v>107</v>
      </c>
      <c r="M439">
        <f t="shared" ca="1" si="24"/>
        <v>465</v>
      </c>
      <c r="N439" s="3" t="str" cm="1">
        <f t="array" ref="N439">_xlfn.IFS(I439&gt;=3.5,"Excellent",I439&gt;=3,"Good",I439&gt;=2,"Average",I439&lt;2,"Poor")</f>
        <v>Average</v>
      </c>
      <c r="P439" t="str">
        <f t="shared" si="25"/>
        <v>True</v>
      </c>
      <c r="Q439">
        <f t="shared" si="26"/>
        <v>566646</v>
      </c>
      <c r="R439">
        <v>2024</v>
      </c>
      <c r="X439" t="str">
        <f t="shared" ca="1" si="27"/>
        <v/>
      </c>
    </row>
    <row r="440" spans="1:24" x14ac:dyDescent="0.25">
      <c r="A440" t="s">
        <v>901</v>
      </c>
      <c r="B440" t="s">
        <v>902</v>
      </c>
      <c r="C440" t="s">
        <v>28</v>
      </c>
      <c r="D440" t="s">
        <v>13</v>
      </c>
      <c r="E440" s="1">
        <v>45027</v>
      </c>
      <c r="F440" t="s">
        <v>14</v>
      </c>
      <c r="G440">
        <v>13152</v>
      </c>
      <c r="H440">
        <v>5009</v>
      </c>
      <c r="I440">
        <v>3.55</v>
      </c>
      <c r="J440">
        <v>32</v>
      </c>
      <c r="M440">
        <f t="shared" ca="1" si="24"/>
        <v>822</v>
      </c>
      <c r="N440" s="3" t="str" cm="1">
        <f t="array" ref="N440">_xlfn.IFS(I440&gt;=3.5,"Excellent",I440&gt;=3,"Good",I440&gt;=2,"Average",I440&lt;2,"Poor")</f>
        <v>Excellent</v>
      </c>
      <c r="P440" t="str">
        <f t="shared" si="25"/>
        <v/>
      </c>
      <c r="Q440">
        <f t="shared" si="26"/>
        <v>566646</v>
      </c>
      <c r="R440">
        <v>2023</v>
      </c>
      <c r="X440" t="str">
        <f t="shared" ca="1" si="27"/>
        <v/>
      </c>
    </row>
    <row r="441" spans="1:24" x14ac:dyDescent="0.25">
      <c r="A441" t="s">
        <v>903</v>
      </c>
      <c r="B441" t="s">
        <v>904</v>
      </c>
      <c r="C441" t="s">
        <v>57</v>
      </c>
      <c r="D441" t="s">
        <v>18</v>
      </c>
      <c r="E441" s="1">
        <v>45136</v>
      </c>
      <c r="F441" t="s">
        <v>14</v>
      </c>
      <c r="G441">
        <v>4765</v>
      </c>
      <c r="H441">
        <v>8911</v>
      </c>
      <c r="I441">
        <v>3.2</v>
      </c>
      <c r="J441">
        <v>98</v>
      </c>
      <c r="M441">
        <f t="shared" ca="1" si="24"/>
        <v>713</v>
      </c>
      <c r="N441" s="3" t="str" cm="1">
        <f t="array" ref="N441">_xlfn.IFS(I441&gt;=3.5,"Excellent",I441&gt;=3,"Good",I441&gt;=2,"Average",I441&lt;2,"Poor")</f>
        <v>Good</v>
      </c>
      <c r="P441" t="str">
        <f t="shared" si="25"/>
        <v>True</v>
      </c>
      <c r="Q441">
        <f t="shared" si="26"/>
        <v>566646</v>
      </c>
      <c r="R441">
        <v>2023</v>
      </c>
      <c r="X441" t="str">
        <f t="shared" ca="1" si="27"/>
        <v/>
      </c>
    </row>
    <row r="442" spans="1:24" x14ac:dyDescent="0.25">
      <c r="A442" t="s">
        <v>905</v>
      </c>
      <c r="B442" t="s">
        <v>906</v>
      </c>
      <c r="C442" t="s">
        <v>12</v>
      </c>
      <c r="D442" t="s">
        <v>62</v>
      </c>
      <c r="E442" s="1">
        <v>44885</v>
      </c>
      <c r="F442" t="s">
        <v>14</v>
      </c>
      <c r="G442">
        <v>5955</v>
      </c>
      <c r="H442">
        <v>2658</v>
      </c>
      <c r="I442">
        <v>2.09</v>
      </c>
      <c r="J442">
        <v>28</v>
      </c>
      <c r="M442">
        <f t="shared" ca="1" si="24"/>
        <v>964</v>
      </c>
      <c r="N442" s="3" t="str" cm="1">
        <f t="array" ref="N442">_xlfn.IFS(I442&gt;=3.5,"Excellent",I442&gt;=3,"Good",I442&gt;=2,"Average",I442&lt;2,"Poor")</f>
        <v>Average</v>
      </c>
      <c r="P442" t="str">
        <f t="shared" si="25"/>
        <v/>
      </c>
      <c r="Q442">
        <f t="shared" si="26"/>
        <v>566646</v>
      </c>
      <c r="R442">
        <v>2022</v>
      </c>
      <c r="X442" t="str">
        <f t="shared" ca="1" si="27"/>
        <v/>
      </c>
    </row>
    <row r="443" spans="1:24" x14ac:dyDescent="0.25">
      <c r="A443" t="s">
        <v>907</v>
      </c>
      <c r="B443" t="s">
        <v>908</v>
      </c>
      <c r="C443" t="s">
        <v>54</v>
      </c>
      <c r="D443" t="s">
        <v>31</v>
      </c>
      <c r="E443" s="1">
        <v>45415</v>
      </c>
      <c r="F443" t="s">
        <v>14</v>
      </c>
      <c r="G443">
        <v>7836</v>
      </c>
      <c r="H443">
        <v>4315</v>
      </c>
      <c r="I443">
        <v>3.51</v>
      </c>
      <c r="J443">
        <v>21</v>
      </c>
      <c r="M443">
        <f t="shared" ca="1" si="24"/>
        <v>434</v>
      </c>
      <c r="N443" s="3" t="str" cm="1">
        <f t="array" ref="N443">_xlfn.IFS(I443&gt;=3.5,"Excellent",I443&gt;=3,"Good",I443&gt;=2,"Average",I443&lt;2,"Poor")</f>
        <v>Excellent</v>
      </c>
      <c r="P443" t="str">
        <f t="shared" si="25"/>
        <v>True</v>
      </c>
      <c r="Q443">
        <f t="shared" si="26"/>
        <v>566646</v>
      </c>
      <c r="R443">
        <v>2024</v>
      </c>
      <c r="X443" t="str">
        <f t="shared" ca="1" si="27"/>
        <v/>
      </c>
    </row>
    <row r="444" spans="1:24" x14ac:dyDescent="0.25">
      <c r="A444" t="s">
        <v>909</v>
      </c>
      <c r="B444" t="s">
        <v>910</v>
      </c>
      <c r="C444" t="s">
        <v>54</v>
      </c>
      <c r="D444" t="s">
        <v>31</v>
      </c>
      <c r="E444" s="1">
        <v>45244</v>
      </c>
      <c r="F444" t="s">
        <v>39</v>
      </c>
      <c r="G444">
        <v>5721</v>
      </c>
      <c r="H444">
        <v>2408</v>
      </c>
      <c r="I444">
        <v>2.65</v>
      </c>
      <c r="J444">
        <v>95</v>
      </c>
      <c r="M444" t="str">
        <f t="shared" ca="1" si="24"/>
        <v/>
      </c>
      <c r="N444" s="3" t="str" cm="1">
        <f t="array" ref="N444">_xlfn.IFS(I444&gt;=3.5,"Excellent",I444&gt;=3,"Good",I444&gt;=2,"Average",I444&lt;2,"Poor")</f>
        <v>Average</v>
      </c>
      <c r="P444" t="str">
        <f t="shared" si="25"/>
        <v/>
      </c>
      <c r="Q444">
        <f t="shared" si="26"/>
        <v>566646</v>
      </c>
      <c r="R444">
        <v>2023</v>
      </c>
      <c r="X444" t="str">
        <f t="shared" ca="1" si="27"/>
        <v/>
      </c>
    </row>
    <row r="445" spans="1:24" x14ac:dyDescent="0.25">
      <c r="A445" t="s">
        <v>911</v>
      </c>
      <c r="B445" t="s">
        <v>912</v>
      </c>
      <c r="C445" t="s">
        <v>17</v>
      </c>
      <c r="D445" t="s">
        <v>31</v>
      </c>
      <c r="E445" s="1">
        <v>45020</v>
      </c>
      <c r="F445" t="s">
        <v>14</v>
      </c>
      <c r="G445">
        <v>11681</v>
      </c>
      <c r="H445">
        <v>8380</v>
      </c>
      <c r="I445">
        <v>2.21</v>
      </c>
      <c r="J445">
        <v>116</v>
      </c>
      <c r="M445">
        <f t="shared" ca="1" si="24"/>
        <v>829</v>
      </c>
      <c r="N445" s="3" t="str" cm="1">
        <f t="array" ref="N445">_xlfn.IFS(I445&gt;=3.5,"Excellent",I445&gt;=3,"Good",I445&gt;=2,"Average",I445&lt;2,"Poor")</f>
        <v>Average</v>
      </c>
      <c r="P445" t="str">
        <f t="shared" si="25"/>
        <v>True</v>
      </c>
      <c r="Q445">
        <f t="shared" si="26"/>
        <v>566646</v>
      </c>
      <c r="R445">
        <v>2023</v>
      </c>
      <c r="X445" t="str">
        <f t="shared" ca="1" si="27"/>
        <v/>
      </c>
    </row>
    <row r="446" spans="1:24" x14ac:dyDescent="0.25">
      <c r="A446" t="s">
        <v>913</v>
      </c>
      <c r="B446" t="s">
        <v>914</v>
      </c>
      <c r="C446" t="s">
        <v>57</v>
      </c>
      <c r="D446" t="s">
        <v>13</v>
      </c>
      <c r="E446" s="1">
        <v>44912</v>
      </c>
      <c r="F446" t="s">
        <v>14</v>
      </c>
      <c r="G446">
        <v>12943</v>
      </c>
      <c r="H446">
        <v>5191</v>
      </c>
      <c r="I446">
        <v>2.0099999999999998</v>
      </c>
      <c r="J446">
        <v>47</v>
      </c>
      <c r="M446">
        <f t="shared" ca="1" si="24"/>
        <v>937</v>
      </c>
      <c r="N446" s="3" t="str" cm="1">
        <f t="array" ref="N446">_xlfn.IFS(I446&gt;=3.5,"Excellent",I446&gt;=3,"Good",I446&gt;=2,"Average",I446&lt;2,"Poor")</f>
        <v>Average</v>
      </c>
      <c r="P446" t="str">
        <f t="shared" si="25"/>
        <v/>
      </c>
      <c r="Q446">
        <f t="shared" si="26"/>
        <v>566646</v>
      </c>
      <c r="R446">
        <v>2022</v>
      </c>
      <c r="X446" t="str">
        <f t="shared" ca="1" si="27"/>
        <v/>
      </c>
    </row>
    <row r="447" spans="1:24" x14ac:dyDescent="0.25">
      <c r="A447" t="s">
        <v>915</v>
      </c>
      <c r="B447" t="s">
        <v>916</v>
      </c>
      <c r="C447" t="s">
        <v>57</v>
      </c>
      <c r="D447" t="s">
        <v>13</v>
      </c>
      <c r="E447" s="1">
        <v>45444</v>
      </c>
      <c r="F447" t="s">
        <v>39</v>
      </c>
      <c r="G447">
        <v>5062</v>
      </c>
      <c r="H447">
        <v>5198</v>
      </c>
      <c r="I447">
        <v>2.69</v>
      </c>
      <c r="J447">
        <v>20</v>
      </c>
      <c r="M447" t="str">
        <f t="shared" ca="1" si="24"/>
        <v/>
      </c>
      <c r="N447" s="3" t="str" cm="1">
        <f t="array" ref="N447">_xlfn.IFS(I447&gt;=3.5,"Excellent",I447&gt;=3,"Good",I447&gt;=2,"Average",I447&lt;2,"Poor")</f>
        <v>Average</v>
      </c>
      <c r="P447" t="str">
        <f t="shared" si="25"/>
        <v>True</v>
      </c>
      <c r="Q447">
        <f t="shared" si="26"/>
        <v>566646</v>
      </c>
      <c r="R447">
        <v>2024</v>
      </c>
      <c r="X447" t="str">
        <f t="shared" ca="1" si="27"/>
        <v/>
      </c>
    </row>
    <row r="448" spans="1:24" x14ac:dyDescent="0.25">
      <c r="A448" t="s">
        <v>917</v>
      </c>
      <c r="B448" t="s">
        <v>918</v>
      </c>
      <c r="C448" t="s">
        <v>28</v>
      </c>
      <c r="D448" t="s">
        <v>13</v>
      </c>
      <c r="E448" s="1">
        <v>45055</v>
      </c>
      <c r="F448" t="s">
        <v>14</v>
      </c>
      <c r="G448">
        <v>12038</v>
      </c>
      <c r="H448">
        <v>5910</v>
      </c>
      <c r="I448">
        <v>3.02</v>
      </c>
      <c r="J448">
        <v>117</v>
      </c>
      <c r="M448">
        <f t="shared" ca="1" si="24"/>
        <v>794</v>
      </c>
      <c r="N448" s="3" t="str" cm="1">
        <f t="array" ref="N448">_xlfn.IFS(I448&gt;=3.5,"Excellent",I448&gt;=3,"Good",I448&gt;=2,"Average",I448&lt;2,"Poor")</f>
        <v>Good</v>
      </c>
      <c r="P448" t="str">
        <f t="shared" si="25"/>
        <v/>
      </c>
      <c r="Q448">
        <f t="shared" si="26"/>
        <v>566646</v>
      </c>
      <c r="R448">
        <v>2023</v>
      </c>
      <c r="X448" t="str">
        <f t="shared" ca="1" si="27"/>
        <v/>
      </c>
    </row>
    <row r="449" spans="1:24" x14ac:dyDescent="0.25">
      <c r="A449" t="s">
        <v>919</v>
      </c>
      <c r="B449" t="s">
        <v>920</v>
      </c>
      <c r="C449" t="s">
        <v>22</v>
      </c>
      <c r="D449" t="s">
        <v>62</v>
      </c>
      <c r="E449" s="1">
        <v>44627</v>
      </c>
      <c r="F449" t="s">
        <v>14</v>
      </c>
      <c r="G449">
        <v>12484</v>
      </c>
      <c r="H449">
        <v>3462</v>
      </c>
      <c r="I449">
        <v>2.93</v>
      </c>
      <c r="J449">
        <v>41</v>
      </c>
      <c r="M449">
        <f t="shared" ca="1" si="24"/>
        <v>1222</v>
      </c>
      <c r="N449" s="3" t="str" cm="1">
        <f t="array" ref="N449">_xlfn.IFS(I449&gt;=3.5,"Excellent",I449&gt;=3,"Good",I449&gt;=2,"Average",I449&lt;2,"Poor")</f>
        <v>Average</v>
      </c>
      <c r="P449" t="str">
        <f t="shared" si="25"/>
        <v/>
      </c>
      <c r="Q449">
        <f t="shared" si="26"/>
        <v>566646</v>
      </c>
      <c r="R449">
        <v>2022</v>
      </c>
      <c r="X449" t="str">
        <f t="shared" ca="1" si="27"/>
        <v/>
      </c>
    </row>
    <row r="450" spans="1:24" x14ac:dyDescent="0.25">
      <c r="A450" t="s">
        <v>921</v>
      </c>
      <c r="B450" t="s">
        <v>922</v>
      </c>
      <c r="C450" t="s">
        <v>17</v>
      </c>
      <c r="D450" t="s">
        <v>18</v>
      </c>
      <c r="E450" s="1">
        <v>44730</v>
      </c>
      <c r="F450" t="s">
        <v>14</v>
      </c>
      <c r="G450">
        <v>10278</v>
      </c>
      <c r="H450">
        <v>9891</v>
      </c>
      <c r="I450">
        <v>3.9</v>
      </c>
      <c r="J450">
        <v>105</v>
      </c>
      <c r="M450">
        <f t="shared" ca="1" si="24"/>
        <v>1119</v>
      </c>
      <c r="N450" s="3" t="str" cm="1">
        <f t="array" ref="N450">_xlfn.IFS(I450&gt;=3.5,"Excellent",I450&gt;=3,"Good",I450&gt;=2,"Average",I450&lt;2,"Poor")</f>
        <v>Excellent</v>
      </c>
      <c r="P450" t="str">
        <f t="shared" si="25"/>
        <v>True</v>
      </c>
      <c r="Q450">
        <f t="shared" si="26"/>
        <v>566646</v>
      </c>
      <c r="R450">
        <v>2022</v>
      </c>
      <c r="X450" t="str">
        <f t="shared" ca="1" si="27"/>
        <v/>
      </c>
    </row>
    <row r="451" spans="1:24" x14ac:dyDescent="0.25">
      <c r="A451" t="s">
        <v>923</v>
      </c>
      <c r="B451" t="s">
        <v>924</v>
      </c>
      <c r="C451" t="s">
        <v>36</v>
      </c>
      <c r="D451" t="s">
        <v>62</v>
      </c>
      <c r="E451" s="1">
        <v>45407</v>
      </c>
      <c r="F451" t="s">
        <v>19</v>
      </c>
      <c r="G451">
        <v>14666</v>
      </c>
      <c r="H451">
        <v>8402</v>
      </c>
      <c r="I451">
        <v>3.55</v>
      </c>
      <c r="J451">
        <v>22</v>
      </c>
      <c r="M451" t="str">
        <f t="shared" ref="M451:M514" ca="1" si="28">IF(F451="Enrolled",TODAY()-E451,"")</f>
        <v/>
      </c>
      <c r="N451" s="3" t="str" cm="1">
        <f t="array" ref="N451">_xlfn.IFS(I451&gt;=3.5,"Excellent",I451&gt;=3,"Good",I451&gt;=2,"Average",I451&lt;2,"Poor")</f>
        <v>Excellent</v>
      </c>
      <c r="P451" t="str">
        <f t="shared" ref="P451:P514" si="29">IF(H451&gt;0.5*G451,"True","")</f>
        <v>True</v>
      </c>
      <c r="Q451">
        <f t="shared" ref="Q451:Q514" si="30">SUMIFS(G451:G1650,F451:F1650,"Completed",D451:D1650,"Science")</f>
        <v>566646</v>
      </c>
      <c r="R451">
        <v>2024</v>
      </c>
      <c r="X451">
        <f t="shared" ref="X451:X514" ca="1" si="31">IF(F451="Completed",TODAY()-E451,"")</f>
        <v>442</v>
      </c>
    </row>
    <row r="452" spans="1:24" x14ac:dyDescent="0.25">
      <c r="A452" t="s">
        <v>925</v>
      </c>
      <c r="B452" t="s">
        <v>926</v>
      </c>
      <c r="C452" t="s">
        <v>57</v>
      </c>
      <c r="D452" t="s">
        <v>62</v>
      </c>
      <c r="E452" s="1">
        <v>45027</v>
      </c>
      <c r="F452" t="s">
        <v>14</v>
      </c>
      <c r="G452">
        <v>5773</v>
      </c>
      <c r="H452">
        <v>2234</v>
      </c>
      <c r="I452">
        <v>3.22</v>
      </c>
      <c r="J452">
        <v>1</v>
      </c>
      <c r="M452">
        <f t="shared" ca="1" si="28"/>
        <v>822</v>
      </c>
      <c r="N452" s="3" t="str" cm="1">
        <f t="array" ref="N452">_xlfn.IFS(I452&gt;=3.5,"Excellent",I452&gt;=3,"Good",I452&gt;=2,"Average",I452&lt;2,"Poor")</f>
        <v>Good</v>
      </c>
      <c r="P452" t="str">
        <f t="shared" si="29"/>
        <v/>
      </c>
      <c r="Q452">
        <f t="shared" si="30"/>
        <v>566646</v>
      </c>
      <c r="R452">
        <v>2023</v>
      </c>
      <c r="X452" t="str">
        <f t="shared" ca="1" si="31"/>
        <v/>
      </c>
    </row>
    <row r="453" spans="1:24" x14ac:dyDescent="0.25">
      <c r="A453" t="s">
        <v>927</v>
      </c>
      <c r="B453" t="s">
        <v>928</v>
      </c>
      <c r="C453" t="s">
        <v>17</v>
      </c>
      <c r="D453" t="s">
        <v>13</v>
      </c>
      <c r="E453" s="1">
        <v>45135</v>
      </c>
      <c r="F453" t="s">
        <v>19</v>
      </c>
      <c r="G453">
        <v>14561</v>
      </c>
      <c r="H453">
        <v>2548</v>
      </c>
      <c r="I453">
        <v>2.78</v>
      </c>
      <c r="J453">
        <v>73</v>
      </c>
      <c r="M453" t="str">
        <f t="shared" ca="1" si="28"/>
        <v/>
      </c>
      <c r="N453" s="3" t="str" cm="1">
        <f t="array" ref="N453">_xlfn.IFS(I453&gt;=3.5,"Excellent",I453&gt;=3,"Good",I453&gt;=2,"Average",I453&lt;2,"Poor")</f>
        <v>Average</v>
      </c>
      <c r="P453" t="str">
        <f t="shared" si="29"/>
        <v/>
      </c>
      <c r="Q453">
        <f t="shared" si="30"/>
        <v>566646</v>
      </c>
      <c r="R453">
        <v>2023</v>
      </c>
      <c r="X453">
        <f t="shared" ca="1" si="31"/>
        <v>714</v>
      </c>
    </row>
    <row r="454" spans="1:24" x14ac:dyDescent="0.25">
      <c r="A454" t="s">
        <v>929</v>
      </c>
      <c r="B454" t="s">
        <v>930</v>
      </c>
      <c r="C454" t="s">
        <v>17</v>
      </c>
      <c r="D454" t="s">
        <v>62</v>
      </c>
      <c r="E454" s="1">
        <v>44665</v>
      </c>
      <c r="F454" t="s">
        <v>14</v>
      </c>
      <c r="G454">
        <v>10266</v>
      </c>
      <c r="H454">
        <v>7787</v>
      </c>
      <c r="I454">
        <v>2.36</v>
      </c>
      <c r="J454">
        <v>97</v>
      </c>
      <c r="M454">
        <f t="shared" ca="1" si="28"/>
        <v>1184</v>
      </c>
      <c r="N454" s="3" t="str" cm="1">
        <f t="array" ref="N454">_xlfn.IFS(I454&gt;=3.5,"Excellent",I454&gt;=3,"Good",I454&gt;=2,"Average",I454&lt;2,"Poor")</f>
        <v>Average</v>
      </c>
      <c r="P454" t="str">
        <f t="shared" si="29"/>
        <v>True</v>
      </c>
      <c r="Q454">
        <f t="shared" si="30"/>
        <v>566646</v>
      </c>
      <c r="R454">
        <v>2022</v>
      </c>
      <c r="X454" t="str">
        <f t="shared" ca="1" si="31"/>
        <v/>
      </c>
    </row>
    <row r="455" spans="1:24" x14ac:dyDescent="0.25">
      <c r="A455" t="s">
        <v>931</v>
      </c>
      <c r="B455" t="s">
        <v>932</v>
      </c>
      <c r="C455" t="s">
        <v>57</v>
      </c>
      <c r="D455" t="s">
        <v>62</v>
      </c>
      <c r="E455" s="1">
        <v>45177</v>
      </c>
      <c r="F455" t="s">
        <v>14</v>
      </c>
      <c r="G455">
        <v>7631</v>
      </c>
      <c r="H455">
        <v>3737</v>
      </c>
      <c r="I455">
        <v>3.84</v>
      </c>
      <c r="J455">
        <v>84</v>
      </c>
      <c r="M455">
        <f t="shared" ca="1" si="28"/>
        <v>672</v>
      </c>
      <c r="N455" s="3" t="str" cm="1">
        <f t="array" ref="N455">_xlfn.IFS(I455&gt;=3.5,"Excellent",I455&gt;=3,"Good",I455&gt;=2,"Average",I455&lt;2,"Poor")</f>
        <v>Excellent</v>
      </c>
      <c r="P455" t="str">
        <f t="shared" si="29"/>
        <v/>
      </c>
      <c r="Q455">
        <f t="shared" si="30"/>
        <v>566646</v>
      </c>
      <c r="R455">
        <v>2023</v>
      </c>
      <c r="X455" t="str">
        <f t="shared" ca="1" si="31"/>
        <v/>
      </c>
    </row>
    <row r="456" spans="1:24" x14ac:dyDescent="0.25">
      <c r="A456" t="s">
        <v>933</v>
      </c>
      <c r="B456" t="s">
        <v>934</v>
      </c>
      <c r="C456" t="s">
        <v>17</v>
      </c>
      <c r="D456" t="s">
        <v>13</v>
      </c>
      <c r="E456" s="1">
        <v>44606</v>
      </c>
      <c r="F456" t="s">
        <v>39</v>
      </c>
      <c r="G456">
        <v>8113</v>
      </c>
      <c r="H456">
        <v>5772</v>
      </c>
      <c r="I456">
        <v>2.13</v>
      </c>
      <c r="J456">
        <v>23</v>
      </c>
      <c r="M456" t="str">
        <f t="shared" ca="1" si="28"/>
        <v/>
      </c>
      <c r="N456" s="3" t="str" cm="1">
        <f t="array" ref="N456">_xlfn.IFS(I456&gt;=3.5,"Excellent",I456&gt;=3,"Good",I456&gt;=2,"Average",I456&lt;2,"Poor")</f>
        <v>Average</v>
      </c>
      <c r="P456" t="str">
        <f t="shared" si="29"/>
        <v>True</v>
      </c>
      <c r="Q456">
        <f t="shared" si="30"/>
        <v>566646</v>
      </c>
      <c r="R456">
        <v>2022</v>
      </c>
      <c r="X456" t="str">
        <f t="shared" ca="1" si="31"/>
        <v/>
      </c>
    </row>
    <row r="457" spans="1:24" x14ac:dyDescent="0.25">
      <c r="A457" t="s">
        <v>935</v>
      </c>
      <c r="B457" t="s">
        <v>936</v>
      </c>
      <c r="C457" t="s">
        <v>54</v>
      </c>
      <c r="D457" t="s">
        <v>31</v>
      </c>
      <c r="E457" s="1">
        <v>44581</v>
      </c>
      <c r="F457" t="s">
        <v>39</v>
      </c>
      <c r="G457">
        <v>8188</v>
      </c>
      <c r="H457">
        <v>5814</v>
      </c>
      <c r="I457">
        <v>3.94</v>
      </c>
      <c r="J457">
        <v>48</v>
      </c>
      <c r="M457" t="str">
        <f t="shared" ca="1" si="28"/>
        <v/>
      </c>
      <c r="N457" s="3" t="str" cm="1">
        <f t="array" ref="N457">_xlfn.IFS(I457&gt;=3.5,"Excellent",I457&gt;=3,"Good",I457&gt;=2,"Average",I457&lt;2,"Poor")</f>
        <v>Excellent</v>
      </c>
      <c r="P457" t="str">
        <f t="shared" si="29"/>
        <v>True</v>
      </c>
      <c r="Q457">
        <f t="shared" si="30"/>
        <v>566646</v>
      </c>
      <c r="R457">
        <v>2022</v>
      </c>
      <c r="X457" t="str">
        <f t="shared" ca="1" si="31"/>
        <v/>
      </c>
    </row>
    <row r="458" spans="1:24" x14ac:dyDescent="0.25">
      <c r="A458" t="s">
        <v>937</v>
      </c>
      <c r="B458" t="s">
        <v>938</v>
      </c>
      <c r="C458" t="s">
        <v>36</v>
      </c>
      <c r="D458" t="s">
        <v>13</v>
      </c>
      <c r="E458" s="1">
        <v>45397</v>
      </c>
      <c r="F458" t="s">
        <v>14</v>
      </c>
      <c r="G458">
        <v>11072</v>
      </c>
      <c r="H458">
        <v>3466</v>
      </c>
      <c r="I458">
        <v>2.4700000000000002</v>
      </c>
      <c r="J458">
        <v>2</v>
      </c>
      <c r="M458">
        <f t="shared" ca="1" si="28"/>
        <v>452</v>
      </c>
      <c r="N458" s="3" t="str" cm="1">
        <f t="array" ref="N458">_xlfn.IFS(I458&gt;=3.5,"Excellent",I458&gt;=3,"Good",I458&gt;=2,"Average",I458&lt;2,"Poor")</f>
        <v>Average</v>
      </c>
      <c r="P458" t="str">
        <f t="shared" si="29"/>
        <v/>
      </c>
      <c r="Q458">
        <f t="shared" si="30"/>
        <v>566646</v>
      </c>
      <c r="R458">
        <v>2024</v>
      </c>
      <c r="X458" t="str">
        <f t="shared" ca="1" si="31"/>
        <v/>
      </c>
    </row>
    <row r="459" spans="1:24" x14ac:dyDescent="0.25">
      <c r="A459" t="s">
        <v>939</v>
      </c>
      <c r="B459" t="s">
        <v>940</v>
      </c>
      <c r="C459" t="s">
        <v>25</v>
      </c>
      <c r="D459" t="s">
        <v>31</v>
      </c>
      <c r="E459" s="1">
        <v>45338</v>
      </c>
      <c r="F459" t="s">
        <v>14</v>
      </c>
      <c r="G459">
        <v>10070</v>
      </c>
      <c r="H459">
        <v>6381</v>
      </c>
      <c r="I459">
        <v>2.36</v>
      </c>
      <c r="J459">
        <v>111</v>
      </c>
      <c r="M459">
        <f t="shared" ca="1" si="28"/>
        <v>511</v>
      </c>
      <c r="N459" s="3" t="str" cm="1">
        <f t="array" ref="N459">_xlfn.IFS(I459&gt;=3.5,"Excellent",I459&gt;=3,"Good",I459&gt;=2,"Average",I459&lt;2,"Poor")</f>
        <v>Average</v>
      </c>
      <c r="P459" t="str">
        <f t="shared" si="29"/>
        <v>True</v>
      </c>
      <c r="Q459">
        <f t="shared" si="30"/>
        <v>566646</v>
      </c>
      <c r="R459">
        <v>2024</v>
      </c>
      <c r="X459" t="str">
        <f t="shared" ca="1" si="31"/>
        <v/>
      </c>
    </row>
    <row r="460" spans="1:24" x14ac:dyDescent="0.25">
      <c r="A460" t="s">
        <v>941</v>
      </c>
      <c r="B460" t="s">
        <v>942</v>
      </c>
      <c r="C460" t="s">
        <v>25</v>
      </c>
      <c r="D460" t="s">
        <v>18</v>
      </c>
      <c r="E460" s="1">
        <v>44648</v>
      </c>
      <c r="F460" t="s">
        <v>19</v>
      </c>
      <c r="G460">
        <v>10311</v>
      </c>
      <c r="H460">
        <v>1376</v>
      </c>
      <c r="I460">
        <v>2.76</v>
      </c>
      <c r="J460">
        <v>104</v>
      </c>
      <c r="M460" t="str">
        <f t="shared" ca="1" si="28"/>
        <v/>
      </c>
      <c r="N460" s="3" t="str" cm="1">
        <f t="array" ref="N460">_xlfn.IFS(I460&gt;=3.5,"Excellent",I460&gt;=3,"Good",I460&gt;=2,"Average",I460&lt;2,"Poor")</f>
        <v>Average</v>
      </c>
      <c r="P460" t="str">
        <f t="shared" si="29"/>
        <v/>
      </c>
      <c r="Q460">
        <f t="shared" si="30"/>
        <v>566646</v>
      </c>
      <c r="R460">
        <v>2022</v>
      </c>
      <c r="X460">
        <f t="shared" ca="1" si="31"/>
        <v>1201</v>
      </c>
    </row>
    <row r="461" spans="1:24" x14ac:dyDescent="0.25">
      <c r="A461" t="s">
        <v>943</v>
      </c>
      <c r="B461" t="s">
        <v>944</v>
      </c>
      <c r="C461" t="s">
        <v>36</v>
      </c>
      <c r="D461" t="s">
        <v>31</v>
      </c>
      <c r="E461" s="1">
        <v>45308</v>
      </c>
      <c r="F461" t="s">
        <v>14</v>
      </c>
      <c r="G461">
        <v>7796</v>
      </c>
      <c r="H461">
        <v>7561</v>
      </c>
      <c r="I461">
        <v>2.42</v>
      </c>
      <c r="J461">
        <v>102</v>
      </c>
      <c r="M461">
        <f t="shared" ca="1" si="28"/>
        <v>541</v>
      </c>
      <c r="N461" s="3" t="str" cm="1">
        <f t="array" ref="N461">_xlfn.IFS(I461&gt;=3.5,"Excellent",I461&gt;=3,"Good",I461&gt;=2,"Average",I461&lt;2,"Poor")</f>
        <v>Average</v>
      </c>
      <c r="P461" t="str">
        <f t="shared" si="29"/>
        <v>True</v>
      </c>
      <c r="Q461">
        <f t="shared" si="30"/>
        <v>556335</v>
      </c>
      <c r="R461">
        <v>2024</v>
      </c>
      <c r="X461" t="str">
        <f t="shared" ca="1" si="31"/>
        <v/>
      </c>
    </row>
    <row r="462" spans="1:24" x14ac:dyDescent="0.25">
      <c r="A462" t="s">
        <v>945</v>
      </c>
      <c r="B462" t="s">
        <v>946</v>
      </c>
      <c r="C462" t="s">
        <v>17</v>
      </c>
      <c r="D462" t="s">
        <v>18</v>
      </c>
      <c r="E462" s="1">
        <v>45366</v>
      </c>
      <c r="F462" t="s">
        <v>14</v>
      </c>
      <c r="G462">
        <v>3923</v>
      </c>
      <c r="H462">
        <v>9125</v>
      </c>
      <c r="I462">
        <v>3.36</v>
      </c>
      <c r="J462">
        <v>63</v>
      </c>
      <c r="M462">
        <f t="shared" ca="1" si="28"/>
        <v>483</v>
      </c>
      <c r="N462" s="3" t="str" cm="1">
        <f t="array" ref="N462">_xlfn.IFS(I462&gt;=3.5,"Excellent",I462&gt;=3,"Good",I462&gt;=2,"Average",I462&lt;2,"Poor")</f>
        <v>Good</v>
      </c>
      <c r="P462" t="str">
        <f t="shared" si="29"/>
        <v>True</v>
      </c>
      <c r="Q462">
        <f t="shared" si="30"/>
        <v>556335</v>
      </c>
      <c r="R462">
        <v>2024</v>
      </c>
      <c r="X462" t="str">
        <f t="shared" ca="1" si="31"/>
        <v/>
      </c>
    </row>
    <row r="463" spans="1:24" x14ac:dyDescent="0.25">
      <c r="A463" t="s">
        <v>947</v>
      </c>
      <c r="B463" t="s">
        <v>948</v>
      </c>
      <c r="C463" t="s">
        <v>57</v>
      </c>
      <c r="D463" t="s">
        <v>18</v>
      </c>
      <c r="E463" s="1">
        <v>44968</v>
      </c>
      <c r="F463" t="s">
        <v>19</v>
      </c>
      <c r="G463">
        <v>11697</v>
      </c>
      <c r="H463">
        <v>6392</v>
      </c>
      <c r="I463">
        <v>2.61</v>
      </c>
      <c r="J463">
        <v>3</v>
      </c>
      <c r="M463" t="str">
        <f t="shared" ca="1" si="28"/>
        <v/>
      </c>
      <c r="N463" s="3" t="str" cm="1">
        <f t="array" ref="N463">_xlfn.IFS(I463&gt;=3.5,"Excellent",I463&gt;=3,"Good",I463&gt;=2,"Average",I463&lt;2,"Poor")</f>
        <v>Average</v>
      </c>
      <c r="P463" t="str">
        <f t="shared" si="29"/>
        <v>True</v>
      </c>
      <c r="Q463">
        <f t="shared" si="30"/>
        <v>556335</v>
      </c>
      <c r="R463">
        <v>2023</v>
      </c>
      <c r="X463">
        <f t="shared" ca="1" si="31"/>
        <v>881</v>
      </c>
    </row>
    <row r="464" spans="1:24" x14ac:dyDescent="0.25">
      <c r="A464" t="s">
        <v>949</v>
      </c>
      <c r="B464" t="s">
        <v>950</v>
      </c>
      <c r="C464" t="s">
        <v>28</v>
      </c>
      <c r="D464" t="s">
        <v>18</v>
      </c>
      <c r="E464" s="1">
        <v>45440</v>
      </c>
      <c r="F464" t="s">
        <v>14</v>
      </c>
      <c r="G464">
        <v>2666</v>
      </c>
      <c r="H464">
        <v>2729</v>
      </c>
      <c r="I464">
        <v>2.94</v>
      </c>
      <c r="J464">
        <v>10</v>
      </c>
      <c r="M464">
        <f t="shared" ca="1" si="28"/>
        <v>409</v>
      </c>
      <c r="N464" s="3" t="str" cm="1">
        <f t="array" ref="N464">_xlfn.IFS(I464&gt;=3.5,"Excellent",I464&gt;=3,"Good",I464&gt;=2,"Average",I464&lt;2,"Poor")</f>
        <v>Average</v>
      </c>
      <c r="P464" t="str">
        <f t="shared" si="29"/>
        <v>True</v>
      </c>
      <c r="Q464">
        <f t="shared" si="30"/>
        <v>544638</v>
      </c>
      <c r="R464">
        <v>2024</v>
      </c>
      <c r="X464" t="str">
        <f t="shared" ca="1" si="31"/>
        <v/>
      </c>
    </row>
    <row r="465" spans="1:24" x14ac:dyDescent="0.25">
      <c r="A465" t="s">
        <v>951</v>
      </c>
      <c r="B465" t="s">
        <v>952</v>
      </c>
      <c r="C465" t="s">
        <v>12</v>
      </c>
      <c r="D465" t="s">
        <v>62</v>
      </c>
      <c r="E465" s="1">
        <v>44650</v>
      </c>
      <c r="F465" t="s">
        <v>14</v>
      </c>
      <c r="G465">
        <v>7947</v>
      </c>
      <c r="H465">
        <v>1</v>
      </c>
      <c r="I465">
        <v>3.25</v>
      </c>
      <c r="J465">
        <v>60</v>
      </c>
      <c r="M465">
        <f t="shared" ca="1" si="28"/>
        <v>1199</v>
      </c>
      <c r="N465" s="3" t="str" cm="1">
        <f t="array" ref="N465">_xlfn.IFS(I465&gt;=3.5,"Excellent",I465&gt;=3,"Good",I465&gt;=2,"Average",I465&lt;2,"Poor")</f>
        <v>Good</v>
      </c>
      <c r="P465" t="str">
        <f t="shared" si="29"/>
        <v/>
      </c>
      <c r="Q465">
        <f t="shared" si="30"/>
        <v>544638</v>
      </c>
      <c r="R465">
        <v>2022</v>
      </c>
      <c r="X465" t="str">
        <f t="shared" ca="1" si="31"/>
        <v/>
      </c>
    </row>
    <row r="466" spans="1:24" x14ac:dyDescent="0.25">
      <c r="A466" t="s">
        <v>953</v>
      </c>
      <c r="B466" t="s">
        <v>954</v>
      </c>
      <c r="C466" t="s">
        <v>22</v>
      </c>
      <c r="D466" t="s">
        <v>31</v>
      </c>
      <c r="E466" s="1">
        <v>44983</v>
      </c>
      <c r="F466" t="s">
        <v>19</v>
      </c>
      <c r="G466">
        <v>10596</v>
      </c>
      <c r="H466">
        <v>9803</v>
      </c>
      <c r="I466">
        <v>2.16</v>
      </c>
      <c r="J466">
        <v>118</v>
      </c>
      <c r="M466" t="str">
        <f t="shared" ca="1" si="28"/>
        <v/>
      </c>
      <c r="N466" s="3" t="str" cm="1">
        <f t="array" ref="N466">_xlfn.IFS(I466&gt;=3.5,"Excellent",I466&gt;=3,"Good",I466&gt;=2,"Average",I466&lt;2,"Poor")</f>
        <v>Average</v>
      </c>
      <c r="P466" t="str">
        <f t="shared" si="29"/>
        <v>True</v>
      </c>
      <c r="Q466">
        <f t="shared" si="30"/>
        <v>544638</v>
      </c>
      <c r="R466">
        <v>2023</v>
      </c>
      <c r="X466">
        <f t="shared" ca="1" si="31"/>
        <v>866</v>
      </c>
    </row>
    <row r="467" spans="1:24" x14ac:dyDescent="0.25">
      <c r="A467" t="s">
        <v>955</v>
      </c>
      <c r="B467" t="s">
        <v>956</v>
      </c>
      <c r="C467" t="s">
        <v>54</v>
      </c>
      <c r="D467" t="s">
        <v>31</v>
      </c>
      <c r="E467" s="1">
        <v>44807</v>
      </c>
      <c r="F467" t="s">
        <v>14</v>
      </c>
      <c r="G467">
        <v>8634</v>
      </c>
      <c r="H467">
        <v>3087</v>
      </c>
      <c r="I467">
        <v>3.44</v>
      </c>
      <c r="J467">
        <v>41</v>
      </c>
      <c r="M467">
        <f t="shared" ca="1" si="28"/>
        <v>1042</v>
      </c>
      <c r="N467" s="3" t="str" cm="1">
        <f t="array" ref="N467">_xlfn.IFS(I467&gt;=3.5,"Excellent",I467&gt;=3,"Good",I467&gt;=2,"Average",I467&lt;2,"Poor")</f>
        <v>Good</v>
      </c>
      <c r="P467" t="str">
        <f t="shared" si="29"/>
        <v/>
      </c>
      <c r="Q467">
        <f t="shared" si="30"/>
        <v>544638</v>
      </c>
      <c r="R467">
        <v>2022</v>
      </c>
      <c r="X467" t="str">
        <f t="shared" ca="1" si="31"/>
        <v/>
      </c>
    </row>
    <row r="468" spans="1:24" x14ac:dyDescent="0.25">
      <c r="A468" t="s">
        <v>957</v>
      </c>
      <c r="B468" t="s">
        <v>958</v>
      </c>
      <c r="C468" t="s">
        <v>28</v>
      </c>
      <c r="D468" t="s">
        <v>31</v>
      </c>
      <c r="E468" s="1">
        <v>45060</v>
      </c>
      <c r="F468" t="s">
        <v>19</v>
      </c>
      <c r="G468">
        <v>10367</v>
      </c>
      <c r="H468">
        <v>4879</v>
      </c>
      <c r="I468">
        <v>3.24</v>
      </c>
      <c r="J468">
        <v>110</v>
      </c>
      <c r="M468" t="str">
        <f t="shared" ca="1" si="28"/>
        <v/>
      </c>
      <c r="N468" s="3" t="str" cm="1">
        <f t="array" ref="N468">_xlfn.IFS(I468&gt;=3.5,"Excellent",I468&gt;=3,"Good",I468&gt;=2,"Average",I468&lt;2,"Poor")</f>
        <v>Good</v>
      </c>
      <c r="P468" t="str">
        <f t="shared" si="29"/>
        <v/>
      </c>
      <c r="Q468">
        <f t="shared" si="30"/>
        <v>544638</v>
      </c>
      <c r="R468">
        <v>2023</v>
      </c>
      <c r="X468">
        <f t="shared" ca="1" si="31"/>
        <v>789</v>
      </c>
    </row>
    <row r="469" spans="1:24" x14ac:dyDescent="0.25">
      <c r="A469" t="s">
        <v>959</v>
      </c>
      <c r="B469" t="s">
        <v>960</v>
      </c>
      <c r="C469" t="s">
        <v>17</v>
      </c>
      <c r="D469" t="s">
        <v>13</v>
      </c>
      <c r="E469" s="1">
        <v>44765</v>
      </c>
      <c r="F469" t="s">
        <v>19</v>
      </c>
      <c r="G469">
        <v>10339</v>
      </c>
      <c r="H469">
        <v>2913</v>
      </c>
      <c r="I469">
        <v>2.92</v>
      </c>
      <c r="J469">
        <v>49</v>
      </c>
      <c r="M469" t="str">
        <f t="shared" ca="1" si="28"/>
        <v/>
      </c>
      <c r="N469" s="3" t="str" cm="1">
        <f t="array" ref="N469">_xlfn.IFS(I469&gt;=3.5,"Excellent",I469&gt;=3,"Good",I469&gt;=2,"Average",I469&lt;2,"Poor")</f>
        <v>Average</v>
      </c>
      <c r="P469" t="str">
        <f t="shared" si="29"/>
        <v/>
      </c>
      <c r="Q469">
        <f t="shared" si="30"/>
        <v>544638</v>
      </c>
      <c r="R469">
        <v>2022</v>
      </c>
      <c r="X469">
        <f t="shared" ca="1" si="31"/>
        <v>1084</v>
      </c>
    </row>
    <row r="470" spans="1:24" x14ac:dyDescent="0.25">
      <c r="A470" t="s">
        <v>961</v>
      </c>
      <c r="B470" t="s">
        <v>962</v>
      </c>
      <c r="C470" t="s">
        <v>57</v>
      </c>
      <c r="D470" t="s">
        <v>13</v>
      </c>
      <c r="E470" s="1">
        <v>45339</v>
      </c>
      <c r="F470" t="s">
        <v>19</v>
      </c>
      <c r="G470">
        <v>5503</v>
      </c>
      <c r="H470">
        <v>9605</v>
      </c>
      <c r="I470">
        <v>3.96</v>
      </c>
      <c r="J470">
        <v>35</v>
      </c>
      <c r="M470" t="str">
        <f t="shared" ca="1" si="28"/>
        <v/>
      </c>
      <c r="N470" s="3" t="str" cm="1">
        <f t="array" ref="N470">_xlfn.IFS(I470&gt;=3.5,"Excellent",I470&gt;=3,"Good",I470&gt;=2,"Average",I470&lt;2,"Poor")</f>
        <v>Excellent</v>
      </c>
      <c r="P470" t="str">
        <f t="shared" si="29"/>
        <v>True</v>
      </c>
      <c r="Q470">
        <f t="shared" si="30"/>
        <v>544638</v>
      </c>
      <c r="R470">
        <v>2024</v>
      </c>
      <c r="X470">
        <f t="shared" ca="1" si="31"/>
        <v>510</v>
      </c>
    </row>
    <row r="471" spans="1:24" x14ac:dyDescent="0.25">
      <c r="A471" t="s">
        <v>963</v>
      </c>
      <c r="B471" t="s">
        <v>964</v>
      </c>
      <c r="C471" t="s">
        <v>25</v>
      </c>
      <c r="D471" t="s">
        <v>18</v>
      </c>
      <c r="E471" s="1">
        <v>44997</v>
      </c>
      <c r="F471" t="s">
        <v>19</v>
      </c>
      <c r="G471">
        <v>7289</v>
      </c>
      <c r="H471">
        <v>3200</v>
      </c>
      <c r="I471">
        <v>3.83</v>
      </c>
      <c r="J471">
        <v>73</v>
      </c>
      <c r="M471" t="str">
        <f t="shared" ca="1" si="28"/>
        <v/>
      </c>
      <c r="N471" s="3" t="str" cm="1">
        <f t="array" ref="N471">_xlfn.IFS(I471&gt;=3.5,"Excellent",I471&gt;=3,"Good",I471&gt;=2,"Average",I471&lt;2,"Poor")</f>
        <v>Excellent</v>
      </c>
      <c r="P471" t="str">
        <f t="shared" si="29"/>
        <v/>
      </c>
      <c r="Q471">
        <f t="shared" si="30"/>
        <v>544638</v>
      </c>
      <c r="R471">
        <v>2023</v>
      </c>
      <c r="X471">
        <f t="shared" ca="1" si="31"/>
        <v>852</v>
      </c>
    </row>
    <row r="472" spans="1:24" x14ac:dyDescent="0.25">
      <c r="A472" t="s">
        <v>965</v>
      </c>
      <c r="B472" t="s">
        <v>966</v>
      </c>
      <c r="C472" t="s">
        <v>25</v>
      </c>
      <c r="D472" t="s">
        <v>13</v>
      </c>
      <c r="E472" s="1">
        <v>44684</v>
      </c>
      <c r="F472" t="s">
        <v>14</v>
      </c>
      <c r="G472">
        <v>11474</v>
      </c>
      <c r="H472">
        <v>6902</v>
      </c>
      <c r="I472">
        <v>3.46</v>
      </c>
      <c r="J472">
        <v>91</v>
      </c>
      <c r="M472">
        <f t="shared" ca="1" si="28"/>
        <v>1165</v>
      </c>
      <c r="N472" s="3" t="str" cm="1">
        <f t="array" ref="N472">_xlfn.IFS(I472&gt;=3.5,"Excellent",I472&gt;=3,"Good",I472&gt;=2,"Average",I472&lt;2,"Poor")</f>
        <v>Good</v>
      </c>
      <c r="P472" t="str">
        <f t="shared" si="29"/>
        <v>True</v>
      </c>
      <c r="Q472">
        <f t="shared" si="30"/>
        <v>537349</v>
      </c>
      <c r="R472">
        <v>2022</v>
      </c>
      <c r="X472" t="str">
        <f t="shared" ca="1" si="31"/>
        <v/>
      </c>
    </row>
    <row r="473" spans="1:24" x14ac:dyDescent="0.25">
      <c r="A473" t="s">
        <v>967</v>
      </c>
      <c r="B473" t="s">
        <v>968</v>
      </c>
      <c r="C473" t="s">
        <v>28</v>
      </c>
      <c r="D473" t="s">
        <v>13</v>
      </c>
      <c r="E473" s="1">
        <v>45416</v>
      </c>
      <c r="F473" t="s">
        <v>39</v>
      </c>
      <c r="G473">
        <v>10970</v>
      </c>
      <c r="H473">
        <v>8625</v>
      </c>
      <c r="I473">
        <v>3.51</v>
      </c>
      <c r="J473">
        <v>9</v>
      </c>
      <c r="M473" t="str">
        <f t="shared" ca="1" si="28"/>
        <v/>
      </c>
      <c r="N473" s="3" t="str" cm="1">
        <f t="array" ref="N473">_xlfn.IFS(I473&gt;=3.5,"Excellent",I473&gt;=3,"Good",I473&gt;=2,"Average",I473&lt;2,"Poor")</f>
        <v>Excellent</v>
      </c>
      <c r="P473" t="str">
        <f t="shared" si="29"/>
        <v>True</v>
      </c>
      <c r="Q473">
        <f t="shared" si="30"/>
        <v>537349</v>
      </c>
      <c r="R473">
        <v>2024</v>
      </c>
      <c r="X473" t="str">
        <f t="shared" ca="1" si="31"/>
        <v/>
      </c>
    </row>
    <row r="474" spans="1:24" x14ac:dyDescent="0.25">
      <c r="A474" t="s">
        <v>969</v>
      </c>
      <c r="B474" t="s">
        <v>970</v>
      </c>
      <c r="C474" t="s">
        <v>25</v>
      </c>
      <c r="D474" t="s">
        <v>13</v>
      </c>
      <c r="E474" s="1">
        <v>45260</v>
      </c>
      <c r="F474" t="s">
        <v>19</v>
      </c>
      <c r="G474">
        <v>10927</v>
      </c>
      <c r="H474">
        <v>1469</v>
      </c>
      <c r="I474">
        <v>3.19</v>
      </c>
      <c r="J474">
        <v>31</v>
      </c>
      <c r="M474" t="str">
        <f t="shared" ca="1" si="28"/>
        <v/>
      </c>
      <c r="N474" s="3" t="str" cm="1">
        <f t="array" ref="N474">_xlfn.IFS(I474&gt;=3.5,"Excellent",I474&gt;=3,"Good",I474&gt;=2,"Average",I474&lt;2,"Poor")</f>
        <v>Good</v>
      </c>
      <c r="P474" t="str">
        <f t="shared" si="29"/>
        <v/>
      </c>
      <c r="Q474">
        <f t="shared" si="30"/>
        <v>537349</v>
      </c>
      <c r="R474">
        <v>2023</v>
      </c>
      <c r="X474">
        <f t="shared" ca="1" si="31"/>
        <v>589</v>
      </c>
    </row>
    <row r="475" spans="1:24" x14ac:dyDescent="0.25">
      <c r="A475" t="s">
        <v>971</v>
      </c>
      <c r="B475" t="s">
        <v>972</v>
      </c>
      <c r="C475" t="s">
        <v>36</v>
      </c>
      <c r="D475" t="s">
        <v>62</v>
      </c>
      <c r="E475" s="1">
        <v>44765</v>
      </c>
      <c r="F475" t="s">
        <v>14</v>
      </c>
      <c r="G475">
        <v>8469</v>
      </c>
      <c r="H475">
        <v>371</v>
      </c>
      <c r="I475">
        <v>3.71</v>
      </c>
      <c r="J475">
        <v>9</v>
      </c>
      <c r="M475">
        <f t="shared" ca="1" si="28"/>
        <v>1084</v>
      </c>
      <c r="N475" s="3" t="str" cm="1">
        <f t="array" ref="N475">_xlfn.IFS(I475&gt;=3.5,"Excellent",I475&gt;=3,"Good",I475&gt;=2,"Average",I475&lt;2,"Poor")</f>
        <v>Excellent</v>
      </c>
      <c r="P475" t="str">
        <f t="shared" si="29"/>
        <v/>
      </c>
      <c r="Q475">
        <f t="shared" si="30"/>
        <v>537349</v>
      </c>
      <c r="R475">
        <v>2022</v>
      </c>
      <c r="X475" t="str">
        <f t="shared" ca="1" si="31"/>
        <v/>
      </c>
    </row>
    <row r="476" spans="1:24" x14ac:dyDescent="0.25">
      <c r="A476" t="s">
        <v>973</v>
      </c>
      <c r="B476" t="s">
        <v>974</v>
      </c>
      <c r="C476" t="s">
        <v>57</v>
      </c>
      <c r="D476" t="s">
        <v>31</v>
      </c>
      <c r="E476" s="1">
        <v>44745</v>
      </c>
      <c r="F476" t="s">
        <v>14</v>
      </c>
      <c r="G476">
        <v>13334</v>
      </c>
      <c r="H476">
        <v>2799</v>
      </c>
      <c r="I476">
        <v>3.97</v>
      </c>
      <c r="J476">
        <v>57</v>
      </c>
      <c r="M476">
        <f t="shared" ca="1" si="28"/>
        <v>1104</v>
      </c>
      <c r="N476" s="3" t="str" cm="1">
        <f t="array" ref="N476">_xlfn.IFS(I476&gt;=3.5,"Excellent",I476&gt;=3,"Good",I476&gt;=2,"Average",I476&lt;2,"Poor")</f>
        <v>Excellent</v>
      </c>
      <c r="P476" t="str">
        <f t="shared" si="29"/>
        <v/>
      </c>
      <c r="Q476">
        <f t="shared" si="30"/>
        <v>537349</v>
      </c>
      <c r="R476">
        <v>2022</v>
      </c>
      <c r="X476" t="str">
        <f t="shared" ca="1" si="31"/>
        <v/>
      </c>
    </row>
    <row r="477" spans="1:24" x14ac:dyDescent="0.25">
      <c r="A477" t="s">
        <v>975</v>
      </c>
      <c r="B477" t="s">
        <v>976</v>
      </c>
      <c r="C477" t="s">
        <v>25</v>
      </c>
      <c r="D477" t="s">
        <v>62</v>
      </c>
      <c r="E477" s="1">
        <v>44881</v>
      </c>
      <c r="F477" t="s">
        <v>14</v>
      </c>
      <c r="G477">
        <v>11400</v>
      </c>
      <c r="H477">
        <v>8573</v>
      </c>
      <c r="I477">
        <v>2.76</v>
      </c>
      <c r="J477">
        <v>0</v>
      </c>
      <c r="M477">
        <f t="shared" ca="1" si="28"/>
        <v>968</v>
      </c>
      <c r="N477" s="3" t="str" cm="1">
        <f t="array" ref="N477">_xlfn.IFS(I477&gt;=3.5,"Excellent",I477&gt;=3,"Good",I477&gt;=2,"Average",I477&lt;2,"Poor")</f>
        <v>Average</v>
      </c>
      <c r="P477" t="str">
        <f t="shared" si="29"/>
        <v>True</v>
      </c>
      <c r="Q477">
        <f t="shared" si="30"/>
        <v>537349</v>
      </c>
      <c r="R477">
        <v>2022</v>
      </c>
      <c r="X477" t="str">
        <f t="shared" ca="1" si="31"/>
        <v/>
      </c>
    </row>
    <row r="478" spans="1:24" x14ac:dyDescent="0.25">
      <c r="A478" t="s">
        <v>977</v>
      </c>
      <c r="B478" t="s">
        <v>978</v>
      </c>
      <c r="C478" t="s">
        <v>12</v>
      </c>
      <c r="D478" t="s">
        <v>18</v>
      </c>
      <c r="E478" s="1">
        <v>44876</v>
      </c>
      <c r="F478" t="s">
        <v>14</v>
      </c>
      <c r="G478">
        <v>11931</v>
      </c>
      <c r="H478">
        <v>6007</v>
      </c>
      <c r="I478">
        <v>3.96</v>
      </c>
      <c r="J478">
        <v>8</v>
      </c>
      <c r="M478">
        <f t="shared" ca="1" si="28"/>
        <v>973</v>
      </c>
      <c r="N478" s="3" t="str" cm="1">
        <f t="array" ref="N478">_xlfn.IFS(I478&gt;=3.5,"Excellent",I478&gt;=3,"Good",I478&gt;=2,"Average",I478&lt;2,"Poor")</f>
        <v>Excellent</v>
      </c>
      <c r="P478" t="str">
        <f t="shared" si="29"/>
        <v>True</v>
      </c>
      <c r="Q478">
        <f t="shared" si="30"/>
        <v>537349</v>
      </c>
      <c r="R478">
        <v>2022</v>
      </c>
      <c r="X478" t="str">
        <f t="shared" ca="1" si="31"/>
        <v/>
      </c>
    </row>
    <row r="479" spans="1:24" x14ac:dyDescent="0.25">
      <c r="A479" t="s">
        <v>979</v>
      </c>
      <c r="B479" t="s">
        <v>980</v>
      </c>
      <c r="C479" t="s">
        <v>22</v>
      </c>
      <c r="D479" t="s">
        <v>62</v>
      </c>
      <c r="E479" s="1">
        <v>44863</v>
      </c>
      <c r="F479" t="s">
        <v>14</v>
      </c>
      <c r="G479">
        <v>12019</v>
      </c>
      <c r="H479">
        <v>8711</v>
      </c>
      <c r="I479">
        <v>3.97</v>
      </c>
      <c r="J479">
        <v>12</v>
      </c>
      <c r="M479">
        <f t="shared" ca="1" si="28"/>
        <v>986</v>
      </c>
      <c r="N479" s="3" t="str" cm="1">
        <f t="array" ref="N479">_xlfn.IFS(I479&gt;=3.5,"Excellent",I479&gt;=3,"Good",I479&gt;=2,"Average",I479&lt;2,"Poor")</f>
        <v>Excellent</v>
      </c>
      <c r="P479" t="str">
        <f t="shared" si="29"/>
        <v>True</v>
      </c>
      <c r="Q479">
        <f t="shared" si="30"/>
        <v>537349</v>
      </c>
      <c r="R479">
        <v>2022</v>
      </c>
      <c r="X479" t="str">
        <f t="shared" ca="1" si="31"/>
        <v/>
      </c>
    </row>
    <row r="480" spans="1:24" x14ac:dyDescent="0.25">
      <c r="A480" t="s">
        <v>981</v>
      </c>
      <c r="B480" t="s">
        <v>982</v>
      </c>
      <c r="C480" t="s">
        <v>57</v>
      </c>
      <c r="D480" t="s">
        <v>31</v>
      </c>
      <c r="E480" s="1">
        <v>44756</v>
      </c>
      <c r="F480" t="s">
        <v>14</v>
      </c>
      <c r="G480">
        <v>6419</v>
      </c>
      <c r="H480">
        <v>1464</v>
      </c>
      <c r="I480">
        <v>2.97</v>
      </c>
      <c r="J480">
        <v>93</v>
      </c>
      <c r="M480">
        <f t="shared" ca="1" si="28"/>
        <v>1093</v>
      </c>
      <c r="N480" s="3" t="str" cm="1">
        <f t="array" ref="N480">_xlfn.IFS(I480&gt;=3.5,"Excellent",I480&gt;=3,"Good",I480&gt;=2,"Average",I480&lt;2,"Poor")</f>
        <v>Average</v>
      </c>
      <c r="P480" t="str">
        <f t="shared" si="29"/>
        <v/>
      </c>
      <c r="Q480">
        <f t="shared" si="30"/>
        <v>537349</v>
      </c>
      <c r="R480">
        <v>2022</v>
      </c>
      <c r="X480" t="str">
        <f t="shared" ca="1" si="31"/>
        <v/>
      </c>
    </row>
    <row r="481" spans="1:24" x14ac:dyDescent="0.25">
      <c r="A481" t="s">
        <v>983</v>
      </c>
      <c r="B481" t="s">
        <v>984</v>
      </c>
      <c r="C481" t="s">
        <v>25</v>
      </c>
      <c r="D481" t="s">
        <v>31</v>
      </c>
      <c r="E481" s="1">
        <v>45070</v>
      </c>
      <c r="F481" t="s">
        <v>19</v>
      </c>
      <c r="G481">
        <v>3561</v>
      </c>
      <c r="H481">
        <v>6640</v>
      </c>
      <c r="I481">
        <v>2.02</v>
      </c>
      <c r="J481">
        <v>63</v>
      </c>
      <c r="M481" t="str">
        <f t="shared" ca="1" si="28"/>
        <v/>
      </c>
      <c r="N481" s="3" t="str" cm="1">
        <f t="array" ref="N481">_xlfn.IFS(I481&gt;=3.5,"Excellent",I481&gt;=3,"Good",I481&gt;=2,"Average",I481&lt;2,"Poor")</f>
        <v>Average</v>
      </c>
      <c r="P481" t="str">
        <f t="shared" si="29"/>
        <v>True</v>
      </c>
      <c r="Q481">
        <f t="shared" si="30"/>
        <v>537349</v>
      </c>
      <c r="R481">
        <v>2023</v>
      </c>
      <c r="X481">
        <f t="shared" ca="1" si="31"/>
        <v>779</v>
      </c>
    </row>
    <row r="482" spans="1:24" x14ac:dyDescent="0.25">
      <c r="A482" t="s">
        <v>985</v>
      </c>
      <c r="B482" t="s">
        <v>986</v>
      </c>
      <c r="C482" t="s">
        <v>17</v>
      </c>
      <c r="D482" t="s">
        <v>31</v>
      </c>
      <c r="E482" s="1">
        <v>44799</v>
      </c>
      <c r="F482" t="s">
        <v>19</v>
      </c>
      <c r="G482">
        <v>3683</v>
      </c>
      <c r="H482">
        <v>1441</v>
      </c>
      <c r="I482">
        <v>2.31</v>
      </c>
      <c r="J482">
        <v>102</v>
      </c>
      <c r="M482" t="str">
        <f t="shared" ca="1" si="28"/>
        <v/>
      </c>
      <c r="N482" s="3" t="str" cm="1">
        <f t="array" ref="N482">_xlfn.IFS(I482&gt;=3.5,"Excellent",I482&gt;=3,"Good",I482&gt;=2,"Average",I482&lt;2,"Poor")</f>
        <v>Average</v>
      </c>
      <c r="P482" t="str">
        <f t="shared" si="29"/>
        <v/>
      </c>
      <c r="Q482">
        <f t="shared" si="30"/>
        <v>537349</v>
      </c>
      <c r="R482">
        <v>2022</v>
      </c>
      <c r="X482">
        <f t="shared" ca="1" si="31"/>
        <v>1050</v>
      </c>
    </row>
    <row r="483" spans="1:24" x14ac:dyDescent="0.25">
      <c r="A483" t="s">
        <v>987</v>
      </c>
      <c r="B483" t="s">
        <v>988</v>
      </c>
      <c r="C483" t="s">
        <v>22</v>
      </c>
      <c r="D483" t="s">
        <v>62</v>
      </c>
      <c r="E483" s="1">
        <v>45424</v>
      </c>
      <c r="F483" t="s">
        <v>14</v>
      </c>
      <c r="G483">
        <v>6365</v>
      </c>
      <c r="H483">
        <v>5276</v>
      </c>
      <c r="I483">
        <v>3.2</v>
      </c>
      <c r="J483">
        <v>20</v>
      </c>
      <c r="M483">
        <f t="shared" ca="1" si="28"/>
        <v>425</v>
      </c>
      <c r="N483" s="3" t="str" cm="1">
        <f t="array" ref="N483">_xlfn.IFS(I483&gt;=3.5,"Excellent",I483&gt;=3,"Good",I483&gt;=2,"Average",I483&lt;2,"Poor")</f>
        <v>Good</v>
      </c>
      <c r="P483" t="str">
        <f t="shared" si="29"/>
        <v>True</v>
      </c>
      <c r="Q483">
        <f t="shared" si="30"/>
        <v>537349</v>
      </c>
      <c r="R483">
        <v>2024</v>
      </c>
      <c r="X483" t="str">
        <f t="shared" ca="1" si="31"/>
        <v/>
      </c>
    </row>
    <row r="484" spans="1:24" x14ac:dyDescent="0.25">
      <c r="A484" t="s">
        <v>989</v>
      </c>
      <c r="B484" t="s">
        <v>990</v>
      </c>
      <c r="C484" t="s">
        <v>12</v>
      </c>
      <c r="D484" t="s">
        <v>31</v>
      </c>
      <c r="E484" s="1">
        <v>44859</v>
      </c>
      <c r="F484" t="s">
        <v>19</v>
      </c>
      <c r="G484">
        <v>9763</v>
      </c>
      <c r="H484">
        <v>308</v>
      </c>
      <c r="I484">
        <v>3.25</v>
      </c>
      <c r="J484">
        <v>69</v>
      </c>
      <c r="M484" t="str">
        <f t="shared" ca="1" si="28"/>
        <v/>
      </c>
      <c r="N484" s="3" t="str" cm="1">
        <f t="array" ref="N484">_xlfn.IFS(I484&gt;=3.5,"Excellent",I484&gt;=3,"Good",I484&gt;=2,"Average",I484&lt;2,"Poor")</f>
        <v>Good</v>
      </c>
      <c r="P484" t="str">
        <f t="shared" si="29"/>
        <v/>
      </c>
      <c r="Q484">
        <f t="shared" si="30"/>
        <v>537349</v>
      </c>
      <c r="R484">
        <v>2022</v>
      </c>
      <c r="X484">
        <f t="shared" ca="1" si="31"/>
        <v>990</v>
      </c>
    </row>
    <row r="485" spans="1:24" x14ac:dyDescent="0.25">
      <c r="A485" t="s">
        <v>991</v>
      </c>
      <c r="B485" t="s">
        <v>992</v>
      </c>
      <c r="C485" t="s">
        <v>22</v>
      </c>
      <c r="D485" t="s">
        <v>13</v>
      </c>
      <c r="E485" s="1">
        <v>44765</v>
      </c>
      <c r="F485" t="s">
        <v>14</v>
      </c>
      <c r="G485">
        <v>8244</v>
      </c>
      <c r="H485">
        <v>6754</v>
      </c>
      <c r="I485">
        <v>3.13</v>
      </c>
      <c r="J485">
        <v>20</v>
      </c>
      <c r="M485">
        <f t="shared" ca="1" si="28"/>
        <v>1084</v>
      </c>
      <c r="N485" s="3" t="str" cm="1">
        <f t="array" ref="N485">_xlfn.IFS(I485&gt;=3.5,"Excellent",I485&gt;=3,"Good",I485&gt;=2,"Average",I485&lt;2,"Poor")</f>
        <v>Good</v>
      </c>
      <c r="P485" t="str">
        <f t="shared" si="29"/>
        <v>True</v>
      </c>
      <c r="Q485">
        <f t="shared" si="30"/>
        <v>537349</v>
      </c>
      <c r="R485">
        <v>2022</v>
      </c>
      <c r="X485" t="str">
        <f t="shared" ca="1" si="31"/>
        <v/>
      </c>
    </row>
    <row r="486" spans="1:24" x14ac:dyDescent="0.25">
      <c r="A486" t="s">
        <v>993</v>
      </c>
      <c r="B486" t="s">
        <v>994</v>
      </c>
      <c r="C486" t="s">
        <v>25</v>
      </c>
      <c r="D486" t="s">
        <v>18</v>
      </c>
      <c r="E486" s="1">
        <v>44582</v>
      </c>
      <c r="F486" t="s">
        <v>19</v>
      </c>
      <c r="G486">
        <v>14276</v>
      </c>
      <c r="H486">
        <v>4243</v>
      </c>
      <c r="I486">
        <v>3.91</v>
      </c>
      <c r="J486">
        <v>1</v>
      </c>
      <c r="M486" t="str">
        <f t="shared" ca="1" si="28"/>
        <v/>
      </c>
      <c r="N486" s="3" t="str" cm="1">
        <f t="array" ref="N486">_xlfn.IFS(I486&gt;=3.5,"Excellent",I486&gt;=3,"Good",I486&gt;=2,"Average",I486&lt;2,"Poor")</f>
        <v>Excellent</v>
      </c>
      <c r="P486" t="str">
        <f t="shared" si="29"/>
        <v/>
      </c>
      <c r="Q486">
        <f t="shared" si="30"/>
        <v>537349</v>
      </c>
      <c r="R486">
        <v>2022</v>
      </c>
      <c r="X486">
        <f t="shared" ca="1" si="31"/>
        <v>1267</v>
      </c>
    </row>
    <row r="487" spans="1:24" x14ac:dyDescent="0.25">
      <c r="A487" t="s">
        <v>995</v>
      </c>
      <c r="B487" t="s">
        <v>996</v>
      </c>
      <c r="C487" t="s">
        <v>28</v>
      </c>
      <c r="D487" t="s">
        <v>62</v>
      </c>
      <c r="E487" s="1">
        <v>44736</v>
      </c>
      <c r="F487" t="s">
        <v>19</v>
      </c>
      <c r="G487">
        <v>5843</v>
      </c>
      <c r="H487">
        <v>6177</v>
      </c>
      <c r="I487">
        <v>2.09</v>
      </c>
      <c r="J487">
        <v>28</v>
      </c>
      <c r="M487" t="str">
        <f t="shared" ca="1" si="28"/>
        <v/>
      </c>
      <c r="N487" s="3" t="str" cm="1">
        <f t="array" ref="N487">_xlfn.IFS(I487&gt;=3.5,"Excellent",I487&gt;=3,"Good",I487&gt;=2,"Average",I487&lt;2,"Poor")</f>
        <v>Average</v>
      </c>
      <c r="P487" t="str">
        <f t="shared" si="29"/>
        <v>True</v>
      </c>
      <c r="Q487">
        <f t="shared" si="30"/>
        <v>523073</v>
      </c>
      <c r="R487">
        <v>2022</v>
      </c>
      <c r="X487">
        <f t="shared" ca="1" si="31"/>
        <v>1113</v>
      </c>
    </row>
    <row r="488" spans="1:24" x14ac:dyDescent="0.25">
      <c r="A488" t="s">
        <v>997</v>
      </c>
      <c r="B488" t="s">
        <v>998</v>
      </c>
      <c r="C488" t="s">
        <v>12</v>
      </c>
      <c r="D488" t="s">
        <v>13</v>
      </c>
      <c r="E488" s="1">
        <v>45140</v>
      </c>
      <c r="F488" t="s">
        <v>14</v>
      </c>
      <c r="G488">
        <v>10937</v>
      </c>
      <c r="H488">
        <v>1114</v>
      </c>
      <c r="I488">
        <v>2.69</v>
      </c>
      <c r="J488">
        <v>109</v>
      </c>
      <c r="M488">
        <f t="shared" ca="1" si="28"/>
        <v>709</v>
      </c>
      <c r="N488" s="3" t="str" cm="1">
        <f t="array" ref="N488">_xlfn.IFS(I488&gt;=3.5,"Excellent",I488&gt;=3,"Good",I488&gt;=2,"Average",I488&lt;2,"Poor")</f>
        <v>Average</v>
      </c>
      <c r="P488" t="str">
        <f t="shared" si="29"/>
        <v/>
      </c>
      <c r="Q488">
        <f t="shared" si="30"/>
        <v>523073</v>
      </c>
      <c r="R488">
        <v>2023</v>
      </c>
      <c r="X488" t="str">
        <f t="shared" ca="1" si="31"/>
        <v/>
      </c>
    </row>
    <row r="489" spans="1:24" x14ac:dyDescent="0.25">
      <c r="A489" t="s">
        <v>999</v>
      </c>
      <c r="B489" t="s">
        <v>1000</v>
      </c>
      <c r="C489" t="s">
        <v>12</v>
      </c>
      <c r="D489" t="s">
        <v>62</v>
      </c>
      <c r="E489" s="1">
        <v>45146</v>
      </c>
      <c r="F489" t="s">
        <v>14</v>
      </c>
      <c r="G489">
        <v>4056</v>
      </c>
      <c r="H489">
        <v>332</v>
      </c>
      <c r="I489">
        <v>3.81</v>
      </c>
      <c r="J489">
        <v>97</v>
      </c>
      <c r="M489">
        <f t="shared" ca="1" si="28"/>
        <v>703</v>
      </c>
      <c r="N489" s="3" t="str" cm="1">
        <f t="array" ref="N489">_xlfn.IFS(I489&gt;=3.5,"Excellent",I489&gt;=3,"Good",I489&gt;=2,"Average",I489&lt;2,"Poor")</f>
        <v>Excellent</v>
      </c>
      <c r="P489" t="str">
        <f t="shared" si="29"/>
        <v/>
      </c>
      <c r="Q489">
        <f t="shared" si="30"/>
        <v>523073</v>
      </c>
      <c r="R489">
        <v>2023</v>
      </c>
      <c r="X489" t="str">
        <f t="shared" ca="1" si="31"/>
        <v/>
      </c>
    </row>
    <row r="490" spans="1:24" x14ac:dyDescent="0.25">
      <c r="A490" t="s">
        <v>1001</v>
      </c>
      <c r="B490" t="s">
        <v>1002</v>
      </c>
      <c r="C490" t="s">
        <v>25</v>
      </c>
      <c r="D490" t="s">
        <v>18</v>
      </c>
      <c r="E490" s="1">
        <v>44592</v>
      </c>
      <c r="F490" t="s">
        <v>14</v>
      </c>
      <c r="G490">
        <v>10757</v>
      </c>
      <c r="H490">
        <v>1430</v>
      </c>
      <c r="I490">
        <v>3.29</v>
      </c>
      <c r="J490">
        <v>93</v>
      </c>
      <c r="M490">
        <f t="shared" ca="1" si="28"/>
        <v>1257</v>
      </c>
      <c r="N490" s="3" t="str" cm="1">
        <f t="array" ref="N490">_xlfn.IFS(I490&gt;=3.5,"Excellent",I490&gt;=3,"Good",I490&gt;=2,"Average",I490&lt;2,"Poor")</f>
        <v>Good</v>
      </c>
      <c r="P490" t="str">
        <f t="shared" si="29"/>
        <v/>
      </c>
      <c r="Q490">
        <f t="shared" si="30"/>
        <v>523073</v>
      </c>
      <c r="R490">
        <v>2022</v>
      </c>
      <c r="X490" t="str">
        <f t="shared" ca="1" si="31"/>
        <v/>
      </c>
    </row>
    <row r="491" spans="1:24" x14ac:dyDescent="0.25">
      <c r="A491" t="s">
        <v>1003</v>
      </c>
      <c r="B491" t="s">
        <v>1004</v>
      </c>
      <c r="C491" t="s">
        <v>36</v>
      </c>
      <c r="D491" t="s">
        <v>18</v>
      </c>
      <c r="E491" s="1">
        <v>45220</v>
      </c>
      <c r="F491" t="s">
        <v>14</v>
      </c>
      <c r="G491">
        <v>5023</v>
      </c>
      <c r="H491">
        <v>6205</v>
      </c>
      <c r="I491">
        <v>3.59</v>
      </c>
      <c r="J491">
        <v>11</v>
      </c>
      <c r="M491">
        <f t="shared" ca="1" si="28"/>
        <v>629</v>
      </c>
      <c r="N491" s="3" t="str" cm="1">
        <f t="array" ref="N491">_xlfn.IFS(I491&gt;=3.5,"Excellent",I491&gt;=3,"Good",I491&gt;=2,"Average",I491&lt;2,"Poor")</f>
        <v>Excellent</v>
      </c>
      <c r="P491" t="str">
        <f t="shared" si="29"/>
        <v>True</v>
      </c>
      <c r="Q491">
        <f t="shared" si="30"/>
        <v>523073</v>
      </c>
      <c r="R491">
        <v>2023</v>
      </c>
      <c r="X491" t="str">
        <f t="shared" ca="1" si="31"/>
        <v/>
      </c>
    </row>
    <row r="492" spans="1:24" x14ac:dyDescent="0.25">
      <c r="A492" t="s">
        <v>1005</v>
      </c>
      <c r="B492" t="s">
        <v>1006</v>
      </c>
      <c r="C492" t="s">
        <v>36</v>
      </c>
      <c r="D492" t="s">
        <v>31</v>
      </c>
      <c r="E492" s="1">
        <v>45333</v>
      </c>
      <c r="F492" t="s">
        <v>19</v>
      </c>
      <c r="G492">
        <v>6821</v>
      </c>
      <c r="H492">
        <v>5563</v>
      </c>
      <c r="I492">
        <v>2.02</v>
      </c>
      <c r="J492">
        <v>70</v>
      </c>
      <c r="M492" t="str">
        <f t="shared" ca="1" si="28"/>
        <v/>
      </c>
      <c r="N492" s="3" t="str" cm="1">
        <f t="array" ref="N492">_xlfn.IFS(I492&gt;=3.5,"Excellent",I492&gt;=3,"Good",I492&gt;=2,"Average",I492&lt;2,"Poor")</f>
        <v>Average</v>
      </c>
      <c r="P492" t="str">
        <f t="shared" si="29"/>
        <v>True</v>
      </c>
      <c r="Q492">
        <f t="shared" si="30"/>
        <v>523073</v>
      </c>
      <c r="R492">
        <v>2024</v>
      </c>
      <c r="X492">
        <f t="shared" ca="1" si="31"/>
        <v>516</v>
      </c>
    </row>
    <row r="493" spans="1:24" x14ac:dyDescent="0.25">
      <c r="A493" t="s">
        <v>1007</v>
      </c>
      <c r="B493" t="s">
        <v>1008</v>
      </c>
      <c r="C493" t="s">
        <v>54</v>
      </c>
      <c r="D493" t="s">
        <v>62</v>
      </c>
      <c r="E493" s="1">
        <v>45425</v>
      </c>
      <c r="F493" t="s">
        <v>14</v>
      </c>
      <c r="G493">
        <v>3545</v>
      </c>
      <c r="H493">
        <v>7302</v>
      </c>
      <c r="I493">
        <v>2.87</v>
      </c>
      <c r="J493">
        <v>12</v>
      </c>
      <c r="M493">
        <f t="shared" ca="1" si="28"/>
        <v>424</v>
      </c>
      <c r="N493" s="3" t="str" cm="1">
        <f t="array" ref="N493">_xlfn.IFS(I493&gt;=3.5,"Excellent",I493&gt;=3,"Good",I493&gt;=2,"Average",I493&lt;2,"Poor")</f>
        <v>Average</v>
      </c>
      <c r="P493" t="str">
        <f t="shared" si="29"/>
        <v>True</v>
      </c>
      <c r="Q493">
        <f t="shared" si="30"/>
        <v>523073</v>
      </c>
      <c r="R493">
        <v>2024</v>
      </c>
      <c r="X493" t="str">
        <f t="shared" ca="1" si="31"/>
        <v/>
      </c>
    </row>
    <row r="494" spans="1:24" x14ac:dyDescent="0.25">
      <c r="A494" t="s">
        <v>1009</v>
      </c>
      <c r="B494" t="s">
        <v>1010</v>
      </c>
      <c r="C494" t="s">
        <v>17</v>
      </c>
      <c r="D494" t="s">
        <v>31</v>
      </c>
      <c r="E494" s="1">
        <v>44884</v>
      </c>
      <c r="F494" t="s">
        <v>14</v>
      </c>
      <c r="G494">
        <v>14219</v>
      </c>
      <c r="H494">
        <v>7883</v>
      </c>
      <c r="I494">
        <v>2.7</v>
      </c>
      <c r="J494">
        <v>98</v>
      </c>
      <c r="M494">
        <f t="shared" ca="1" si="28"/>
        <v>965</v>
      </c>
      <c r="N494" s="3" t="str" cm="1">
        <f t="array" ref="N494">_xlfn.IFS(I494&gt;=3.5,"Excellent",I494&gt;=3,"Good",I494&gt;=2,"Average",I494&lt;2,"Poor")</f>
        <v>Average</v>
      </c>
      <c r="P494" t="str">
        <f t="shared" si="29"/>
        <v>True</v>
      </c>
      <c r="Q494">
        <f t="shared" si="30"/>
        <v>523073</v>
      </c>
      <c r="R494">
        <v>2022</v>
      </c>
      <c r="X494" t="str">
        <f t="shared" ca="1" si="31"/>
        <v/>
      </c>
    </row>
    <row r="495" spans="1:24" x14ac:dyDescent="0.25">
      <c r="A495" t="s">
        <v>1011</v>
      </c>
      <c r="B495" t="s">
        <v>1012</v>
      </c>
      <c r="C495" t="s">
        <v>28</v>
      </c>
      <c r="D495" t="s">
        <v>62</v>
      </c>
      <c r="E495" s="1">
        <v>44863</v>
      </c>
      <c r="F495" t="s">
        <v>39</v>
      </c>
      <c r="G495">
        <v>3235</v>
      </c>
      <c r="H495">
        <v>1111</v>
      </c>
      <c r="I495">
        <v>2.4300000000000002</v>
      </c>
      <c r="J495">
        <v>119</v>
      </c>
      <c r="M495" t="str">
        <f t="shared" ca="1" si="28"/>
        <v/>
      </c>
      <c r="N495" s="3" t="str" cm="1">
        <f t="array" ref="N495">_xlfn.IFS(I495&gt;=3.5,"Excellent",I495&gt;=3,"Good",I495&gt;=2,"Average",I495&lt;2,"Poor")</f>
        <v>Average</v>
      </c>
      <c r="P495" t="str">
        <f t="shared" si="29"/>
        <v/>
      </c>
      <c r="Q495">
        <f t="shared" si="30"/>
        <v>523073</v>
      </c>
      <c r="R495">
        <v>2022</v>
      </c>
      <c r="X495" t="str">
        <f t="shared" ca="1" si="31"/>
        <v/>
      </c>
    </row>
    <row r="496" spans="1:24" x14ac:dyDescent="0.25">
      <c r="A496" t="s">
        <v>1013</v>
      </c>
      <c r="B496" t="s">
        <v>1014</v>
      </c>
      <c r="C496" t="s">
        <v>36</v>
      </c>
      <c r="D496" t="s">
        <v>31</v>
      </c>
      <c r="E496" s="1">
        <v>44817</v>
      </c>
      <c r="F496" t="s">
        <v>14</v>
      </c>
      <c r="G496">
        <v>12764</v>
      </c>
      <c r="H496">
        <v>1814</v>
      </c>
      <c r="I496">
        <v>2.37</v>
      </c>
      <c r="J496">
        <v>108</v>
      </c>
      <c r="M496">
        <f t="shared" ca="1" si="28"/>
        <v>1032</v>
      </c>
      <c r="N496" s="3" t="str" cm="1">
        <f t="array" ref="N496">_xlfn.IFS(I496&gt;=3.5,"Excellent",I496&gt;=3,"Good",I496&gt;=2,"Average",I496&lt;2,"Poor")</f>
        <v>Average</v>
      </c>
      <c r="P496" t="str">
        <f t="shared" si="29"/>
        <v/>
      </c>
      <c r="Q496">
        <f t="shared" si="30"/>
        <v>523073</v>
      </c>
      <c r="R496">
        <v>2022</v>
      </c>
      <c r="X496" t="str">
        <f t="shared" ca="1" si="31"/>
        <v/>
      </c>
    </row>
    <row r="497" spans="1:24" x14ac:dyDescent="0.25">
      <c r="A497" t="s">
        <v>1015</v>
      </c>
      <c r="B497" t="s">
        <v>1016</v>
      </c>
      <c r="C497" t="s">
        <v>28</v>
      </c>
      <c r="D497" t="s">
        <v>13</v>
      </c>
      <c r="E497" s="1">
        <v>45256</v>
      </c>
      <c r="F497" t="s">
        <v>19</v>
      </c>
      <c r="G497">
        <v>7033</v>
      </c>
      <c r="H497">
        <v>3416</v>
      </c>
      <c r="I497">
        <v>3.51</v>
      </c>
      <c r="J497">
        <v>7</v>
      </c>
      <c r="M497" t="str">
        <f t="shared" ca="1" si="28"/>
        <v/>
      </c>
      <c r="N497" s="3" t="str" cm="1">
        <f t="array" ref="N497">_xlfn.IFS(I497&gt;=3.5,"Excellent",I497&gt;=3,"Good",I497&gt;=2,"Average",I497&lt;2,"Poor")</f>
        <v>Excellent</v>
      </c>
      <c r="P497" t="str">
        <f t="shared" si="29"/>
        <v/>
      </c>
      <c r="Q497">
        <f t="shared" si="30"/>
        <v>523073</v>
      </c>
      <c r="R497">
        <v>2023</v>
      </c>
      <c r="X497">
        <f t="shared" ca="1" si="31"/>
        <v>593</v>
      </c>
    </row>
    <row r="498" spans="1:24" x14ac:dyDescent="0.25">
      <c r="A498" t="s">
        <v>1017</v>
      </c>
      <c r="B498" t="s">
        <v>1018</v>
      </c>
      <c r="C498" t="s">
        <v>25</v>
      </c>
      <c r="D498" t="s">
        <v>31</v>
      </c>
      <c r="E498" s="1">
        <v>44649</v>
      </c>
      <c r="F498" t="s">
        <v>39</v>
      </c>
      <c r="G498">
        <v>13290</v>
      </c>
      <c r="H498">
        <v>1862</v>
      </c>
      <c r="I498">
        <v>2.39</v>
      </c>
      <c r="J498">
        <v>75</v>
      </c>
      <c r="M498" t="str">
        <f t="shared" ca="1" si="28"/>
        <v/>
      </c>
      <c r="N498" s="3" t="str" cm="1">
        <f t="array" ref="N498">_xlfn.IFS(I498&gt;=3.5,"Excellent",I498&gt;=3,"Good",I498&gt;=2,"Average",I498&lt;2,"Poor")</f>
        <v>Average</v>
      </c>
      <c r="P498" t="str">
        <f t="shared" si="29"/>
        <v/>
      </c>
      <c r="Q498">
        <f t="shared" si="30"/>
        <v>523073</v>
      </c>
      <c r="R498">
        <v>2022</v>
      </c>
      <c r="X498" t="str">
        <f t="shared" ca="1" si="31"/>
        <v/>
      </c>
    </row>
    <row r="499" spans="1:24" x14ac:dyDescent="0.25">
      <c r="A499" t="s">
        <v>1019</v>
      </c>
      <c r="B499" t="s">
        <v>1020</v>
      </c>
      <c r="C499" t="s">
        <v>12</v>
      </c>
      <c r="D499" t="s">
        <v>13</v>
      </c>
      <c r="E499" s="1">
        <v>44757</v>
      </c>
      <c r="F499" t="s">
        <v>14</v>
      </c>
      <c r="G499">
        <v>12663</v>
      </c>
      <c r="H499">
        <v>4913</v>
      </c>
      <c r="I499">
        <v>3.59</v>
      </c>
      <c r="J499">
        <v>110</v>
      </c>
      <c r="M499">
        <f t="shared" ca="1" si="28"/>
        <v>1092</v>
      </c>
      <c r="N499" s="3" t="str" cm="1">
        <f t="array" ref="N499">_xlfn.IFS(I499&gt;=3.5,"Excellent",I499&gt;=3,"Good",I499&gt;=2,"Average",I499&lt;2,"Poor")</f>
        <v>Excellent</v>
      </c>
      <c r="P499" t="str">
        <f t="shared" si="29"/>
        <v/>
      </c>
      <c r="Q499">
        <f t="shared" si="30"/>
        <v>523073</v>
      </c>
      <c r="R499">
        <v>2022</v>
      </c>
      <c r="X499" t="str">
        <f t="shared" ca="1" si="31"/>
        <v/>
      </c>
    </row>
    <row r="500" spans="1:24" x14ac:dyDescent="0.25">
      <c r="A500" t="s">
        <v>1021</v>
      </c>
      <c r="B500" t="s">
        <v>1022</v>
      </c>
      <c r="C500" t="s">
        <v>57</v>
      </c>
      <c r="D500" t="s">
        <v>62</v>
      </c>
      <c r="E500" s="1">
        <v>45149</v>
      </c>
      <c r="F500" t="s">
        <v>19</v>
      </c>
      <c r="G500">
        <v>3630</v>
      </c>
      <c r="H500">
        <v>8783</v>
      </c>
      <c r="I500">
        <v>2.73</v>
      </c>
      <c r="J500">
        <v>67</v>
      </c>
      <c r="M500" t="str">
        <f t="shared" ca="1" si="28"/>
        <v/>
      </c>
      <c r="N500" s="3" t="str" cm="1">
        <f t="array" ref="N500">_xlfn.IFS(I500&gt;=3.5,"Excellent",I500&gt;=3,"Good",I500&gt;=2,"Average",I500&lt;2,"Poor")</f>
        <v>Average</v>
      </c>
      <c r="P500" t="str">
        <f t="shared" si="29"/>
        <v>True</v>
      </c>
      <c r="Q500">
        <f t="shared" si="30"/>
        <v>523073</v>
      </c>
      <c r="R500">
        <v>2023</v>
      </c>
      <c r="X500">
        <f t="shared" ca="1" si="31"/>
        <v>700</v>
      </c>
    </row>
    <row r="501" spans="1:24" x14ac:dyDescent="0.25">
      <c r="A501" t="s">
        <v>1023</v>
      </c>
      <c r="B501" t="s">
        <v>1024</v>
      </c>
      <c r="C501" t="s">
        <v>57</v>
      </c>
      <c r="D501" t="s">
        <v>62</v>
      </c>
      <c r="E501" s="1">
        <v>44991</v>
      </c>
      <c r="F501" t="s">
        <v>14</v>
      </c>
      <c r="G501">
        <v>14263</v>
      </c>
      <c r="H501">
        <v>2162</v>
      </c>
      <c r="I501">
        <v>3.8</v>
      </c>
      <c r="J501">
        <v>53</v>
      </c>
      <c r="M501">
        <f t="shared" ca="1" si="28"/>
        <v>858</v>
      </c>
      <c r="N501" s="3" t="str" cm="1">
        <f t="array" ref="N501">_xlfn.IFS(I501&gt;=3.5,"Excellent",I501&gt;=3,"Good",I501&gt;=2,"Average",I501&lt;2,"Poor")</f>
        <v>Excellent</v>
      </c>
      <c r="P501" t="str">
        <f t="shared" si="29"/>
        <v/>
      </c>
      <c r="Q501">
        <f t="shared" si="30"/>
        <v>523073</v>
      </c>
      <c r="R501">
        <v>2023</v>
      </c>
      <c r="X501" t="str">
        <f t="shared" ca="1" si="31"/>
        <v/>
      </c>
    </row>
    <row r="502" spans="1:24" x14ac:dyDescent="0.25">
      <c r="A502" t="s">
        <v>1025</v>
      </c>
      <c r="B502" t="s">
        <v>1026</v>
      </c>
      <c r="C502" t="s">
        <v>22</v>
      </c>
      <c r="D502" t="s">
        <v>31</v>
      </c>
      <c r="E502" s="1">
        <v>45097</v>
      </c>
      <c r="F502" t="s">
        <v>19</v>
      </c>
      <c r="G502">
        <v>12155</v>
      </c>
      <c r="H502">
        <v>8128</v>
      </c>
      <c r="I502">
        <v>3.28</v>
      </c>
      <c r="J502">
        <v>21</v>
      </c>
      <c r="M502" t="str">
        <f t="shared" ca="1" si="28"/>
        <v/>
      </c>
      <c r="N502" s="3" t="str" cm="1">
        <f t="array" ref="N502">_xlfn.IFS(I502&gt;=3.5,"Excellent",I502&gt;=3,"Good",I502&gt;=2,"Average",I502&lt;2,"Poor")</f>
        <v>Good</v>
      </c>
      <c r="P502" t="str">
        <f t="shared" si="29"/>
        <v>True</v>
      </c>
      <c r="Q502">
        <f t="shared" si="30"/>
        <v>523073</v>
      </c>
      <c r="R502">
        <v>2023</v>
      </c>
      <c r="X502">
        <f t="shared" ca="1" si="31"/>
        <v>752</v>
      </c>
    </row>
    <row r="503" spans="1:24" x14ac:dyDescent="0.25">
      <c r="A503" t="s">
        <v>1027</v>
      </c>
      <c r="B503" t="s">
        <v>1028</v>
      </c>
      <c r="C503" t="s">
        <v>28</v>
      </c>
      <c r="D503" t="s">
        <v>18</v>
      </c>
      <c r="E503" s="1">
        <v>45328</v>
      </c>
      <c r="F503" t="s">
        <v>19</v>
      </c>
      <c r="G503">
        <v>4867</v>
      </c>
      <c r="H503">
        <v>7702</v>
      </c>
      <c r="I503">
        <v>3.52</v>
      </c>
      <c r="J503">
        <v>1</v>
      </c>
      <c r="M503" t="str">
        <f t="shared" ca="1" si="28"/>
        <v/>
      </c>
      <c r="N503" s="3" t="str" cm="1">
        <f t="array" ref="N503">_xlfn.IFS(I503&gt;=3.5,"Excellent",I503&gt;=3,"Good",I503&gt;=2,"Average",I503&lt;2,"Poor")</f>
        <v>Excellent</v>
      </c>
      <c r="P503" t="str">
        <f t="shared" si="29"/>
        <v>True</v>
      </c>
      <c r="Q503">
        <f t="shared" si="30"/>
        <v>523073</v>
      </c>
      <c r="R503">
        <v>2024</v>
      </c>
      <c r="X503">
        <f t="shared" ca="1" si="31"/>
        <v>521</v>
      </c>
    </row>
    <row r="504" spans="1:24" x14ac:dyDescent="0.25">
      <c r="A504" t="s">
        <v>1029</v>
      </c>
      <c r="B504" t="s">
        <v>1030</v>
      </c>
      <c r="C504" t="s">
        <v>36</v>
      </c>
      <c r="D504" t="s">
        <v>18</v>
      </c>
      <c r="E504" s="1">
        <v>44578</v>
      </c>
      <c r="F504" t="s">
        <v>19</v>
      </c>
      <c r="G504">
        <v>13284</v>
      </c>
      <c r="H504">
        <v>5926</v>
      </c>
      <c r="I504">
        <v>2.25</v>
      </c>
      <c r="J504">
        <v>48</v>
      </c>
      <c r="M504" t="str">
        <f t="shared" ca="1" si="28"/>
        <v/>
      </c>
      <c r="N504" s="3" t="str" cm="1">
        <f t="array" ref="N504">_xlfn.IFS(I504&gt;=3.5,"Excellent",I504&gt;=3,"Good",I504&gt;=2,"Average",I504&lt;2,"Poor")</f>
        <v>Average</v>
      </c>
      <c r="P504" t="str">
        <f t="shared" si="29"/>
        <v/>
      </c>
      <c r="Q504">
        <f t="shared" si="30"/>
        <v>518206</v>
      </c>
      <c r="R504">
        <v>2022</v>
      </c>
      <c r="X504">
        <f t="shared" ca="1" si="31"/>
        <v>1271</v>
      </c>
    </row>
    <row r="505" spans="1:24" x14ac:dyDescent="0.25">
      <c r="A505" t="s">
        <v>1031</v>
      </c>
      <c r="B505" t="s">
        <v>1032</v>
      </c>
      <c r="C505" t="s">
        <v>17</v>
      </c>
      <c r="D505" t="s">
        <v>62</v>
      </c>
      <c r="E505" s="1">
        <v>44691</v>
      </c>
      <c r="F505" t="s">
        <v>14</v>
      </c>
      <c r="G505">
        <v>10971</v>
      </c>
      <c r="H505">
        <v>3693</v>
      </c>
      <c r="I505">
        <v>3.43</v>
      </c>
      <c r="J505">
        <v>67</v>
      </c>
      <c r="M505">
        <f t="shared" ca="1" si="28"/>
        <v>1158</v>
      </c>
      <c r="N505" s="3" t="str" cm="1">
        <f t="array" ref="N505">_xlfn.IFS(I505&gt;=3.5,"Excellent",I505&gt;=3,"Good",I505&gt;=2,"Average",I505&lt;2,"Poor")</f>
        <v>Good</v>
      </c>
      <c r="P505" t="str">
        <f t="shared" si="29"/>
        <v/>
      </c>
      <c r="Q505">
        <f t="shared" si="30"/>
        <v>504922</v>
      </c>
      <c r="R505">
        <v>2022</v>
      </c>
      <c r="X505" t="str">
        <f t="shared" ca="1" si="31"/>
        <v/>
      </c>
    </row>
    <row r="506" spans="1:24" x14ac:dyDescent="0.25">
      <c r="A506" t="s">
        <v>1033</v>
      </c>
      <c r="B506" t="s">
        <v>1034</v>
      </c>
      <c r="C506" t="s">
        <v>36</v>
      </c>
      <c r="D506" t="s">
        <v>31</v>
      </c>
      <c r="E506" s="1">
        <v>45091</v>
      </c>
      <c r="F506" t="s">
        <v>14</v>
      </c>
      <c r="G506">
        <v>10845</v>
      </c>
      <c r="H506">
        <v>3885</v>
      </c>
      <c r="I506">
        <v>3.24</v>
      </c>
      <c r="J506">
        <v>73</v>
      </c>
      <c r="M506">
        <f t="shared" ca="1" si="28"/>
        <v>758</v>
      </c>
      <c r="N506" s="3" t="str" cm="1">
        <f t="array" ref="N506">_xlfn.IFS(I506&gt;=3.5,"Excellent",I506&gt;=3,"Good",I506&gt;=2,"Average",I506&lt;2,"Poor")</f>
        <v>Good</v>
      </c>
      <c r="P506" t="str">
        <f t="shared" si="29"/>
        <v/>
      </c>
      <c r="Q506">
        <f t="shared" si="30"/>
        <v>504922</v>
      </c>
      <c r="R506">
        <v>2023</v>
      </c>
      <c r="X506" t="str">
        <f t="shared" ca="1" si="31"/>
        <v/>
      </c>
    </row>
    <row r="507" spans="1:24" x14ac:dyDescent="0.25">
      <c r="A507" t="s">
        <v>1035</v>
      </c>
      <c r="B507" t="s">
        <v>1036</v>
      </c>
      <c r="C507" t="s">
        <v>28</v>
      </c>
      <c r="D507" t="s">
        <v>31</v>
      </c>
      <c r="E507" s="1">
        <v>44699</v>
      </c>
      <c r="F507" t="s">
        <v>39</v>
      </c>
      <c r="G507">
        <v>3925</v>
      </c>
      <c r="H507">
        <v>9799</v>
      </c>
      <c r="I507">
        <v>2.62</v>
      </c>
      <c r="J507">
        <v>73</v>
      </c>
      <c r="M507" t="str">
        <f t="shared" ca="1" si="28"/>
        <v/>
      </c>
      <c r="N507" s="3" t="str" cm="1">
        <f t="array" ref="N507">_xlfn.IFS(I507&gt;=3.5,"Excellent",I507&gt;=3,"Good",I507&gt;=2,"Average",I507&lt;2,"Poor")</f>
        <v>Average</v>
      </c>
      <c r="P507" t="str">
        <f t="shared" si="29"/>
        <v>True</v>
      </c>
      <c r="Q507">
        <f t="shared" si="30"/>
        <v>504922</v>
      </c>
      <c r="R507">
        <v>2022</v>
      </c>
      <c r="X507" t="str">
        <f t="shared" ca="1" si="31"/>
        <v/>
      </c>
    </row>
    <row r="508" spans="1:24" x14ac:dyDescent="0.25">
      <c r="A508" t="s">
        <v>1037</v>
      </c>
      <c r="B508" t="s">
        <v>1038</v>
      </c>
      <c r="C508" t="s">
        <v>22</v>
      </c>
      <c r="D508" t="s">
        <v>18</v>
      </c>
      <c r="E508" s="1">
        <v>45274</v>
      </c>
      <c r="F508" t="s">
        <v>19</v>
      </c>
      <c r="G508">
        <v>9717</v>
      </c>
      <c r="H508">
        <v>1531</v>
      </c>
      <c r="I508">
        <v>3.9</v>
      </c>
      <c r="J508">
        <v>15</v>
      </c>
      <c r="M508" t="str">
        <f t="shared" ca="1" si="28"/>
        <v/>
      </c>
      <c r="N508" s="3" t="str" cm="1">
        <f t="array" ref="N508">_xlfn.IFS(I508&gt;=3.5,"Excellent",I508&gt;=3,"Good",I508&gt;=2,"Average",I508&lt;2,"Poor")</f>
        <v>Excellent</v>
      </c>
      <c r="P508" t="str">
        <f t="shared" si="29"/>
        <v/>
      </c>
      <c r="Q508">
        <f t="shared" si="30"/>
        <v>504922</v>
      </c>
      <c r="R508">
        <v>2023</v>
      </c>
      <c r="X508">
        <f t="shared" ca="1" si="31"/>
        <v>575</v>
      </c>
    </row>
    <row r="509" spans="1:24" x14ac:dyDescent="0.25">
      <c r="A509" t="s">
        <v>1039</v>
      </c>
      <c r="B509" t="s">
        <v>1040</v>
      </c>
      <c r="C509" t="s">
        <v>17</v>
      </c>
      <c r="D509" t="s">
        <v>18</v>
      </c>
      <c r="E509" s="1">
        <v>45211</v>
      </c>
      <c r="F509" t="s">
        <v>19</v>
      </c>
      <c r="G509">
        <v>9611</v>
      </c>
      <c r="H509">
        <v>6838</v>
      </c>
      <c r="I509">
        <v>3.3</v>
      </c>
      <c r="J509">
        <v>94</v>
      </c>
      <c r="M509" t="str">
        <f t="shared" ca="1" si="28"/>
        <v/>
      </c>
      <c r="N509" s="3" t="str" cm="1">
        <f t="array" ref="N509">_xlfn.IFS(I509&gt;=3.5,"Excellent",I509&gt;=3,"Good",I509&gt;=2,"Average",I509&lt;2,"Poor")</f>
        <v>Good</v>
      </c>
      <c r="P509" t="str">
        <f t="shared" si="29"/>
        <v>True</v>
      </c>
      <c r="Q509">
        <f t="shared" si="30"/>
        <v>495205</v>
      </c>
      <c r="R509">
        <v>2023</v>
      </c>
      <c r="X509">
        <f t="shared" ca="1" si="31"/>
        <v>638</v>
      </c>
    </row>
    <row r="510" spans="1:24" x14ac:dyDescent="0.25">
      <c r="A510" t="s">
        <v>1041</v>
      </c>
      <c r="B510" t="s">
        <v>1042</v>
      </c>
      <c r="C510" t="s">
        <v>54</v>
      </c>
      <c r="D510" t="s">
        <v>18</v>
      </c>
      <c r="E510" s="1">
        <v>45289</v>
      </c>
      <c r="F510" t="s">
        <v>19</v>
      </c>
      <c r="G510">
        <v>7850</v>
      </c>
      <c r="H510">
        <v>5788</v>
      </c>
      <c r="I510">
        <v>2.58</v>
      </c>
      <c r="J510">
        <v>14</v>
      </c>
      <c r="M510" t="str">
        <f t="shared" ca="1" si="28"/>
        <v/>
      </c>
      <c r="N510" s="3" t="str" cm="1">
        <f t="array" ref="N510">_xlfn.IFS(I510&gt;=3.5,"Excellent",I510&gt;=3,"Good",I510&gt;=2,"Average",I510&lt;2,"Poor")</f>
        <v>Average</v>
      </c>
      <c r="P510" t="str">
        <f t="shared" si="29"/>
        <v>True</v>
      </c>
      <c r="Q510">
        <f t="shared" si="30"/>
        <v>485594</v>
      </c>
      <c r="R510">
        <v>2023</v>
      </c>
      <c r="X510">
        <f t="shared" ca="1" si="31"/>
        <v>560</v>
      </c>
    </row>
    <row r="511" spans="1:24" x14ac:dyDescent="0.25">
      <c r="A511" t="s">
        <v>1043</v>
      </c>
      <c r="B511" t="s">
        <v>1044</v>
      </c>
      <c r="C511" t="s">
        <v>12</v>
      </c>
      <c r="D511" t="s">
        <v>13</v>
      </c>
      <c r="E511" s="1">
        <v>44981</v>
      </c>
      <c r="F511" t="s">
        <v>14</v>
      </c>
      <c r="G511">
        <v>13973</v>
      </c>
      <c r="H511">
        <v>1742</v>
      </c>
      <c r="I511">
        <v>2.1</v>
      </c>
      <c r="J511">
        <v>10</v>
      </c>
      <c r="M511">
        <f t="shared" ca="1" si="28"/>
        <v>868</v>
      </c>
      <c r="N511" s="3" t="str" cm="1">
        <f t="array" ref="N511">_xlfn.IFS(I511&gt;=3.5,"Excellent",I511&gt;=3,"Good",I511&gt;=2,"Average",I511&lt;2,"Poor")</f>
        <v>Average</v>
      </c>
      <c r="P511" t="str">
        <f t="shared" si="29"/>
        <v/>
      </c>
      <c r="Q511">
        <f t="shared" si="30"/>
        <v>477744</v>
      </c>
      <c r="R511">
        <v>2023</v>
      </c>
      <c r="X511" t="str">
        <f t="shared" ca="1" si="31"/>
        <v/>
      </c>
    </row>
    <row r="512" spans="1:24" x14ac:dyDescent="0.25">
      <c r="A512" t="s">
        <v>1045</v>
      </c>
      <c r="B512" t="s">
        <v>1046</v>
      </c>
      <c r="C512" t="s">
        <v>54</v>
      </c>
      <c r="D512" t="s">
        <v>31</v>
      </c>
      <c r="E512" s="1">
        <v>45318</v>
      </c>
      <c r="F512" t="s">
        <v>14</v>
      </c>
      <c r="G512">
        <v>9294</v>
      </c>
      <c r="H512">
        <v>6415</v>
      </c>
      <c r="I512">
        <v>3.38</v>
      </c>
      <c r="J512">
        <v>57</v>
      </c>
      <c r="M512">
        <f t="shared" ca="1" si="28"/>
        <v>531</v>
      </c>
      <c r="N512" s="3" t="str" cm="1">
        <f t="array" ref="N512">_xlfn.IFS(I512&gt;=3.5,"Excellent",I512&gt;=3,"Good",I512&gt;=2,"Average",I512&lt;2,"Poor")</f>
        <v>Good</v>
      </c>
      <c r="P512" t="str">
        <f t="shared" si="29"/>
        <v>True</v>
      </c>
      <c r="Q512">
        <f t="shared" si="30"/>
        <v>477744</v>
      </c>
      <c r="R512">
        <v>2024</v>
      </c>
      <c r="X512" t="str">
        <f t="shared" ca="1" si="31"/>
        <v/>
      </c>
    </row>
    <row r="513" spans="1:24" x14ac:dyDescent="0.25">
      <c r="A513" t="s">
        <v>1047</v>
      </c>
      <c r="B513" t="s">
        <v>1048</v>
      </c>
      <c r="C513" t="s">
        <v>28</v>
      </c>
      <c r="D513" t="s">
        <v>13</v>
      </c>
      <c r="E513" s="1">
        <v>44771</v>
      </c>
      <c r="F513" t="s">
        <v>19</v>
      </c>
      <c r="G513">
        <v>9133</v>
      </c>
      <c r="H513">
        <v>2906</v>
      </c>
      <c r="I513">
        <v>2.85</v>
      </c>
      <c r="J513">
        <v>42</v>
      </c>
      <c r="M513" t="str">
        <f t="shared" ca="1" si="28"/>
        <v/>
      </c>
      <c r="N513" s="3" t="str" cm="1">
        <f t="array" ref="N513">_xlfn.IFS(I513&gt;=3.5,"Excellent",I513&gt;=3,"Good",I513&gt;=2,"Average",I513&lt;2,"Poor")</f>
        <v>Average</v>
      </c>
      <c r="P513" t="str">
        <f t="shared" si="29"/>
        <v/>
      </c>
      <c r="Q513">
        <f t="shared" si="30"/>
        <v>477744</v>
      </c>
      <c r="R513">
        <v>2022</v>
      </c>
      <c r="X513">
        <f t="shared" ca="1" si="31"/>
        <v>1078</v>
      </c>
    </row>
    <row r="514" spans="1:24" x14ac:dyDescent="0.25">
      <c r="A514" t="s">
        <v>1049</v>
      </c>
      <c r="B514" t="s">
        <v>1050</v>
      </c>
      <c r="C514" t="s">
        <v>28</v>
      </c>
      <c r="D514" t="s">
        <v>13</v>
      </c>
      <c r="E514" s="1">
        <v>45400</v>
      </c>
      <c r="F514" t="s">
        <v>39</v>
      </c>
      <c r="G514">
        <v>9782</v>
      </c>
      <c r="H514">
        <v>2085</v>
      </c>
      <c r="I514">
        <v>2.36</v>
      </c>
      <c r="J514">
        <v>66</v>
      </c>
      <c r="M514" t="str">
        <f t="shared" ca="1" si="28"/>
        <v/>
      </c>
      <c r="N514" s="3" t="str" cm="1">
        <f t="array" ref="N514">_xlfn.IFS(I514&gt;=3.5,"Excellent",I514&gt;=3,"Good",I514&gt;=2,"Average",I514&lt;2,"Poor")</f>
        <v>Average</v>
      </c>
      <c r="P514" t="str">
        <f t="shared" si="29"/>
        <v/>
      </c>
      <c r="Q514">
        <f t="shared" si="30"/>
        <v>477744</v>
      </c>
      <c r="R514">
        <v>2024</v>
      </c>
      <c r="X514" t="str">
        <f t="shared" ca="1" si="31"/>
        <v/>
      </c>
    </row>
    <row r="515" spans="1:24" x14ac:dyDescent="0.25">
      <c r="A515" t="s">
        <v>1051</v>
      </c>
      <c r="B515" t="s">
        <v>1052</v>
      </c>
      <c r="C515" t="s">
        <v>12</v>
      </c>
      <c r="D515" t="s">
        <v>13</v>
      </c>
      <c r="E515" s="1">
        <v>45456</v>
      </c>
      <c r="F515" t="s">
        <v>19</v>
      </c>
      <c r="G515">
        <v>5574</v>
      </c>
      <c r="H515">
        <v>6633</v>
      </c>
      <c r="I515">
        <v>2.82</v>
      </c>
      <c r="J515">
        <v>1</v>
      </c>
      <c r="M515" t="str">
        <f t="shared" ref="M515:M578" ca="1" si="32">IF(F515="Enrolled",TODAY()-E515,"")</f>
        <v/>
      </c>
      <c r="N515" s="3" t="str" cm="1">
        <f t="array" ref="N515">_xlfn.IFS(I515&gt;=3.5,"Excellent",I515&gt;=3,"Good",I515&gt;=2,"Average",I515&lt;2,"Poor")</f>
        <v>Average</v>
      </c>
      <c r="P515" t="str">
        <f t="shared" ref="P515:P578" si="33">IF(H515&gt;0.5*G515,"True","")</f>
        <v>True</v>
      </c>
      <c r="Q515">
        <f t="shared" ref="Q515:Q578" si="34">SUMIFS(G515:G1714,F515:F1714,"Completed",D515:D1714,"Science")</f>
        <v>477744</v>
      </c>
      <c r="R515">
        <v>2024</v>
      </c>
      <c r="X515">
        <f t="shared" ref="X515:X578" ca="1" si="35">IF(F515="Completed",TODAY()-E515,"")</f>
        <v>393</v>
      </c>
    </row>
    <row r="516" spans="1:24" x14ac:dyDescent="0.25">
      <c r="A516" t="s">
        <v>1053</v>
      </c>
      <c r="B516" t="s">
        <v>1054</v>
      </c>
      <c r="C516" t="s">
        <v>17</v>
      </c>
      <c r="D516" t="s">
        <v>62</v>
      </c>
      <c r="E516" s="1">
        <v>44578</v>
      </c>
      <c r="F516" t="s">
        <v>14</v>
      </c>
      <c r="G516">
        <v>6629</v>
      </c>
      <c r="H516">
        <v>3439</v>
      </c>
      <c r="I516">
        <v>3.83</v>
      </c>
      <c r="J516">
        <v>31</v>
      </c>
      <c r="M516">
        <f t="shared" ca="1" si="32"/>
        <v>1271</v>
      </c>
      <c r="N516" s="3" t="str" cm="1">
        <f t="array" ref="N516">_xlfn.IFS(I516&gt;=3.5,"Excellent",I516&gt;=3,"Good",I516&gt;=2,"Average",I516&lt;2,"Poor")</f>
        <v>Excellent</v>
      </c>
      <c r="P516" t="str">
        <f t="shared" si="33"/>
        <v>True</v>
      </c>
      <c r="Q516">
        <f t="shared" si="34"/>
        <v>477744</v>
      </c>
      <c r="R516">
        <v>2022</v>
      </c>
      <c r="X516" t="str">
        <f t="shared" ca="1" si="35"/>
        <v/>
      </c>
    </row>
    <row r="517" spans="1:24" x14ac:dyDescent="0.25">
      <c r="A517" t="s">
        <v>1055</v>
      </c>
      <c r="B517" t="s">
        <v>1056</v>
      </c>
      <c r="C517" t="s">
        <v>28</v>
      </c>
      <c r="D517" t="s">
        <v>18</v>
      </c>
      <c r="E517" s="1">
        <v>44889</v>
      </c>
      <c r="F517" t="s">
        <v>14</v>
      </c>
      <c r="G517">
        <v>10972</v>
      </c>
      <c r="H517">
        <v>8709</v>
      </c>
      <c r="I517">
        <v>2.56</v>
      </c>
      <c r="J517">
        <v>15</v>
      </c>
      <c r="M517">
        <f t="shared" ca="1" si="32"/>
        <v>960</v>
      </c>
      <c r="N517" s="3" t="str" cm="1">
        <f t="array" ref="N517">_xlfn.IFS(I517&gt;=3.5,"Excellent",I517&gt;=3,"Good",I517&gt;=2,"Average",I517&lt;2,"Poor")</f>
        <v>Average</v>
      </c>
      <c r="P517" t="str">
        <f t="shared" si="33"/>
        <v>True</v>
      </c>
      <c r="Q517">
        <f t="shared" si="34"/>
        <v>477744</v>
      </c>
      <c r="R517">
        <v>2022</v>
      </c>
      <c r="X517" t="str">
        <f t="shared" ca="1" si="35"/>
        <v/>
      </c>
    </row>
    <row r="518" spans="1:24" x14ac:dyDescent="0.25">
      <c r="A518" t="s">
        <v>1057</v>
      </c>
      <c r="B518" t="s">
        <v>1058</v>
      </c>
      <c r="C518" t="s">
        <v>22</v>
      </c>
      <c r="D518" t="s">
        <v>18</v>
      </c>
      <c r="E518" s="1">
        <v>44592</v>
      </c>
      <c r="F518" t="s">
        <v>19</v>
      </c>
      <c r="G518">
        <v>14926</v>
      </c>
      <c r="H518">
        <v>7700</v>
      </c>
      <c r="I518">
        <v>4</v>
      </c>
      <c r="J518">
        <v>97</v>
      </c>
      <c r="M518" t="str">
        <f t="shared" ca="1" si="32"/>
        <v/>
      </c>
      <c r="N518" s="3" t="str" cm="1">
        <f t="array" ref="N518">_xlfn.IFS(I518&gt;=3.5,"Excellent",I518&gt;=3,"Good",I518&gt;=2,"Average",I518&lt;2,"Poor")</f>
        <v>Excellent</v>
      </c>
      <c r="P518" t="str">
        <f t="shared" si="33"/>
        <v>True</v>
      </c>
      <c r="Q518">
        <f t="shared" si="34"/>
        <v>477744</v>
      </c>
      <c r="R518">
        <v>2022</v>
      </c>
      <c r="X518">
        <f t="shared" ca="1" si="35"/>
        <v>1257</v>
      </c>
    </row>
    <row r="519" spans="1:24" x14ac:dyDescent="0.25">
      <c r="A519" t="s">
        <v>1059</v>
      </c>
      <c r="B519" t="s">
        <v>1060</v>
      </c>
      <c r="C519" t="s">
        <v>36</v>
      </c>
      <c r="D519" t="s">
        <v>31</v>
      </c>
      <c r="E519" s="1">
        <v>45376</v>
      </c>
      <c r="F519" t="s">
        <v>14</v>
      </c>
      <c r="G519">
        <v>4128</v>
      </c>
      <c r="H519">
        <v>3535</v>
      </c>
      <c r="I519">
        <v>3.48</v>
      </c>
      <c r="J519">
        <v>32</v>
      </c>
      <c r="M519">
        <f t="shared" ca="1" si="32"/>
        <v>473</v>
      </c>
      <c r="N519" s="3" t="str" cm="1">
        <f t="array" ref="N519">_xlfn.IFS(I519&gt;=3.5,"Excellent",I519&gt;=3,"Good",I519&gt;=2,"Average",I519&lt;2,"Poor")</f>
        <v>Good</v>
      </c>
      <c r="P519" t="str">
        <f t="shared" si="33"/>
        <v>True</v>
      </c>
      <c r="Q519">
        <f t="shared" si="34"/>
        <v>462818</v>
      </c>
      <c r="R519">
        <v>2024</v>
      </c>
      <c r="X519" t="str">
        <f t="shared" ca="1" si="35"/>
        <v/>
      </c>
    </row>
    <row r="520" spans="1:24" x14ac:dyDescent="0.25">
      <c r="A520" t="s">
        <v>1061</v>
      </c>
      <c r="B520" t="s">
        <v>1062</v>
      </c>
      <c r="C520" t="s">
        <v>54</v>
      </c>
      <c r="D520" t="s">
        <v>62</v>
      </c>
      <c r="E520" s="1">
        <v>45374</v>
      </c>
      <c r="F520" t="s">
        <v>14</v>
      </c>
      <c r="G520">
        <v>3774</v>
      </c>
      <c r="H520">
        <v>3406</v>
      </c>
      <c r="I520">
        <v>3.35</v>
      </c>
      <c r="J520">
        <v>63</v>
      </c>
      <c r="M520">
        <f t="shared" ca="1" si="32"/>
        <v>475</v>
      </c>
      <c r="N520" s="3" t="str" cm="1">
        <f t="array" ref="N520">_xlfn.IFS(I520&gt;=3.5,"Excellent",I520&gt;=3,"Good",I520&gt;=2,"Average",I520&lt;2,"Poor")</f>
        <v>Good</v>
      </c>
      <c r="P520" t="str">
        <f t="shared" si="33"/>
        <v>True</v>
      </c>
      <c r="Q520">
        <f t="shared" si="34"/>
        <v>462818</v>
      </c>
      <c r="R520">
        <v>2024</v>
      </c>
      <c r="X520" t="str">
        <f t="shared" ca="1" si="35"/>
        <v/>
      </c>
    </row>
    <row r="521" spans="1:24" x14ac:dyDescent="0.25">
      <c r="A521" t="s">
        <v>1063</v>
      </c>
      <c r="B521" t="s">
        <v>1064</v>
      </c>
      <c r="C521" t="s">
        <v>54</v>
      </c>
      <c r="D521" t="s">
        <v>62</v>
      </c>
      <c r="E521" s="1">
        <v>44858</v>
      </c>
      <c r="F521" t="s">
        <v>14</v>
      </c>
      <c r="G521">
        <v>9643</v>
      </c>
      <c r="H521">
        <v>431</v>
      </c>
      <c r="I521">
        <v>3.6</v>
      </c>
      <c r="J521">
        <v>26</v>
      </c>
      <c r="M521">
        <f t="shared" ca="1" si="32"/>
        <v>991</v>
      </c>
      <c r="N521" s="3" t="str" cm="1">
        <f t="array" ref="N521">_xlfn.IFS(I521&gt;=3.5,"Excellent",I521&gt;=3,"Good",I521&gt;=2,"Average",I521&lt;2,"Poor")</f>
        <v>Excellent</v>
      </c>
      <c r="P521" t="str">
        <f t="shared" si="33"/>
        <v/>
      </c>
      <c r="Q521">
        <f t="shared" si="34"/>
        <v>462818</v>
      </c>
      <c r="R521">
        <v>2022</v>
      </c>
      <c r="X521" t="str">
        <f t="shared" ca="1" si="35"/>
        <v/>
      </c>
    </row>
    <row r="522" spans="1:24" x14ac:dyDescent="0.25">
      <c r="A522" t="s">
        <v>1065</v>
      </c>
      <c r="B522" t="s">
        <v>1066</v>
      </c>
      <c r="C522" t="s">
        <v>25</v>
      </c>
      <c r="D522" t="s">
        <v>62</v>
      </c>
      <c r="E522" s="1">
        <v>44732</v>
      </c>
      <c r="F522" t="s">
        <v>19</v>
      </c>
      <c r="G522">
        <v>9016</v>
      </c>
      <c r="H522">
        <v>3228</v>
      </c>
      <c r="I522">
        <v>3.24</v>
      </c>
      <c r="J522">
        <v>62</v>
      </c>
      <c r="M522" t="str">
        <f t="shared" ca="1" si="32"/>
        <v/>
      </c>
      <c r="N522" s="3" t="str" cm="1">
        <f t="array" ref="N522">_xlfn.IFS(I522&gt;=3.5,"Excellent",I522&gt;=3,"Good",I522&gt;=2,"Average",I522&lt;2,"Poor")</f>
        <v>Good</v>
      </c>
      <c r="P522" t="str">
        <f t="shared" si="33"/>
        <v/>
      </c>
      <c r="Q522">
        <f t="shared" si="34"/>
        <v>462818</v>
      </c>
      <c r="R522">
        <v>2022</v>
      </c>
      <c r="X522">
        <f t="shared" ca="1" si="35"/>
        <v>1117</v>
      </c>
    </row>
    <row r="523" spans="1:24" x14ac:dyDescent="0.25">
      <c r="A523" t="s">
        <v>1067</v>
      </c>
      <c r="B523" t="s">
        <v>1068</v>
      </c>
      <c r="C523" t="s">
        <v>57</v>
      </c>
      <c r="D523" t="s">
        <v>18</v>
      </c>
      <c r="E523" s="1">
        <v>45458</v>
      </c>
      <c r="F523" t="s">
        <v>14</v>
      </c>
      <c r="G523">
        <v>6221</v>
      </c>
      <c r="H523">
        <v>5210</v>
      </c>
      <c r="I523">
        <v>3.38</v>
      </c>
      <c r="J523">
        <v>103</v>
      </c>
      <c r="M523">
        <f t="shared" ca="1" si="32"/>
        <v>391</v>
      </c>
      <c r="N523" s="3" t="str" cm="1">
        <f t="array" ref="N523">_xlfn.IFS(I523&gt;=3.5,"Excellent",I523&gt;=3,"Good",I523&gt;=2,"Average",I523&lt;2,"Poor")</f>
        <v>Good</v>
      </c>
      <c r="P523" t="str">
        <f t="shared" si="33"/>
        <v>True</v>
      </c>
      <c r="Q523">
        <f t="shared" si="34"/>
        <v>462818</v>
      </c>
      <c r="R523">
        <v>2024</v>
      </c>
      <c r="X523" t="str">
        <f t="shared" ca="1" si="35"/>
        <v/>
      </c>
    </row>
    <row r="524" spans="1:24" x14ac:dyDescent="0.25">
      <c r="A524" t="s">
        <v>1069</v>
      </c>
      <c r="B524" t="s">
        <v>1070</v>
      </c>
      <c r="C524" t="s">
        <v>25</v>
      </c>
      <c r="D524" t="s">
        <v>62</v>
      </c>
      <c r="E524" s="1">
        <v>44661</v>
      </c>
      <c r="F524" t="s">
        <v>14</v>
      </c>
      <c r="G524">
        <v>3532</v>
      </c>
      <c r="H524">
        <v>5236</v>
      </c>
      <c r="I524">
        <v>3.48</v>
      </c>
      <c r="J524">
        <v>115</v>
      </c>
      <c r="M524">
        <f t="shared" ca="1" si="32"/>
        <v>1188</v>
      </c>
      <c r="N524" s="3" t="str" cm="1">
        <f t="array" ref="N524">_xlfn.IFS(I524&gt;=3.5,"Excellent",I524&gt;=3,"Good",I524&gt;=2,"Average",I524&lt;2,"Poor")</f>
        <v>Good</v>
      </c>
      <c r="P524" t="str">
        <f t="shared" si="33"/>
        <v>True</v>
      </c>
      <c r="Q524">
        <f t="shared" si="34"/>
        <v>462818</v>
      </c>
      <c r="R524">
        <v>2022</v>
      </c>
      <c r="X524" t="str">
        <f t="shared" ca="1" si="35"/>
        <v/>
      </c>
    </row>
    <row r="525" spans="1:24" x14ac:dyDescent="0.25">
      <c r="A525" t="s">
        <v>1071</v>
      </c>
      <c r="B525" t="s">
        <v>1072</v>
      </c>
      <c r="C525" t="s">
        <v>36</v>
      </c>
      <c r="D525" t="s">
        <v>31</v>
      </c>
      <c r="E525" s="1">
        <v>45448</v>
      </c>
      <c r="F525" t="s">
        <v>14</v>
      </c>
      <c r="G525">
        <v>9455</v>
      </c>
      <c r="H525">
        <v>1102</v>
      </c>
      <c r="I525">
        <v>2.98</v>
      </c>
      <c r="J525">
        <v>15</v>
      </c>
      <c r="M525">
        <f t="shared" ca="1" si="32"/>
        <v>401</v>
      </c>
      <c r="N525" s="3" t="str" cm="1">
        <f t="array" ref="N525">_xlfn.IFS(I525&gt;=3.5,"Excellent",I525&gt;=3,"Good",I525&gt;=2,"Average",I525&lt;2,"Poor")</f>
        <v>Average</v>
      </c>
      <c r="P525" t="str">
        <f t="shared" si="33"/>
        <v/>
      </c>
      <c r="Q525">
        <f t="shared" si="34"/>
        <v>462818</v>
      </c>
      <c r="R525">
        <v>2024</v>
      </c>
      <c r="X525" t="str">
        <f t="shared" ca="1" si="35"/>
        <v/>
      </c>
    </row>
    <row r="526" spans="1:24" x14ac:dyDescent="0.25">
      <c r="A526" t="s">
        <v>1073</v>
      </c>
      <c r="B526" t="s">
        <v>1074</v>
      </c>
      <c r="C526" t="s">
        <v>12</v>
      </c>
      <c r="D526" t="s">
        <v>31</v>
      </c>
      <c r="E526" s="1">
        <v>45452</v>
      </c>
      <c r="F526" t="s">
        <v>19</v>
      </c>
      <c r="G526">
        <v>4219</v>
      </c>
      <c r="H526">
        <v>6695</v>
      </c>
      <c r="I526">
        <v>2.4300000000000002</v>
      </c>
      <c r="J526">
        <v>79</v>
      </c>
      <c r="M526" t="str">
        <f t="shared" ca="1" si="32"/>
        <v/>
      </c>
      <c r="N526" s="3" t="str" cm="1">
        <f t="array" ref="N526">_xlfn.IFS(I526&gt;=3.5,"Excellent",I526&gt;=3,"Good",I526&gt;=2,"Average",I526&lt;2,"Poor")</f>
        <v>Average</v>
      </c>
      <c r="P526" t="str">
        <f t="shared" si="33"/>
        <v>True</v>
      </c>
      <c r="Q526">
        <f t="shared" si="34"/>
        <v>462818</v>
      </c>
      <c r="R526">
        <v>2024</v>
      </c>
      <c r="X526">
        <f t="shared" ca="1" si="35"/>
        <v>397</v>
      </c>
    </row>
    <row r="527" spans="1:24" x14ac:dyDescent="0.25">
      <c r="A527" t="s">
        <v>1075</v>
      </c>
      <c r="B527" t="s">
        <v>1076</v>
      </c>
      <c r="C527" t="s">
        <v>36</v>
      </c>
      <c r="D527" t="s">
        <v>18</v>
      </c>
      <c r="E527" s="1">
        <v>44713</v>
      </c>
      <c r="F527" t="s">
        <v>14</v>
      </c>
      <c r="G527">
        <v>2395</v>
      </c>
      <c r="H527">
        <v>5019</v>
      </c>
      <c r="I527">
        <v>2.34</v>
      </c>
      <c r="J527">
        <v>53</v>
      </c>
      <c r="M527">
        <f t="shared" ca="1" si="32"/>
        <v>1136</v>
      </c>
      <c r="N527" s="3" t="str" cm="1">
        <f t="array" ref="N527">_xlfn.IFS(I527&gt;=3.5,"Excellent",I527&gt;=3,"Good",I527&gt;=2,"Average",I527&lt;2,"Poor")</f>
        <v>Average</v>
      </c>
      <c r="P527" t="str">
        <f t="shared" si="33"/>
        <v>True</v>
      </c>
      <c r="Q527">
        <f t="shared" si="34"/>
        <v>462818</v>
      </c>
      <c r="R527">
        <v>2022</v>
      </c>
      <c r="X527" t="str">
        <f t="shared" ca="1" si="35"/>
        <v/>
      </c>
    </row>
    <row r="528" spans="1:24" x14ac:dyDescent="0.25">
      <c r="A528" t="s">
        <v>1077</v>
      </c>
      <c r="B528" t="s">
        <v>1078</v>
      </c>
      <c r="C528" t="s">
        <v>28</v>
      </c>
      <c r="D528" t="s">
        <v>31</v>
      </c>
      <c r="E528" s="1">
        <v>45249</v>
      </c>
      <c r="F528" t="s">
        <v>39</v>
      </c>
      <c r="G528">
        <v>9775</v>
      </c>
      <c r="H528">
        <v>3000</v>
      </c>
      <c r="I528">
        <v>3.2</v>
      </c>
      <c r="J528">
        <v>32</v>
      </c>
      <c r="M528" t="str">
        <f t="shared" ca="1" si="32"/>
        <v/>
      </c>
      <c r="N528" s="3" t="str" cm="1">
        <f t="array" ref="N528">_xlfn.IFS(I528&gt;=3.5,"Excellent",I528&gt;=3,"Good",I528&gt;=2,"Average",I528&lt;2,"Poor")</f>
        <v>Good</v>
      </c>
      <c r="P528" t="str">
        <f t="shared" si="33"/>
        <v/>
      </c>
      <c r="Q528">
        <f t="shared" si="34"/>
        <v>462818</v>
      </c>
      <c r="R528">
        <v>2023</v>
      </c>
      <c r="X528" t="str">
        <f t="shared" ca="1" si="35"/>
        <v/>
      </c>
    </row>
    <row r="529" spans="1:24" x14ac:dyDescent="0.25">
      <c r="A529" t="s">
        <v>1079</v>
      </c>
      <c r="B529" t="s">
        <v>1080</v>
      </c>
      <c r="C529" t="s">
        <v>17</v>
      </c>
      <c r="D529" t="s">
        <v>62</v>
      </c>
      <c r="E529" s="1">
        <v>44582</v>
      </c>
      <c r="F529" t="s">
        <v>14</v>
      </c>
      <c r="G529">
        <v>4629</v>
      </c>
      <c r="H529">
        <v>3746</v>
      </c>
      <c r="I529">
        <v>3.38</v>
      </c>
      <c r="J529">
        <v>34</v>
      </c>
      <c r="M529">
        <f t="shared" ca="1" si="32"/>
        <v>1267</v>
      </c>
      <c r="N529" s="3" t="str" cm="1">
        <f t="array" ref="N529">_xlfn.IFS(I529&gt;=3.5,"Excellent",I529&gt;=3,"Good",I529&gt;=2,"Average",I529&lt;2,"Poor")</f>
        <v>Good</v>
      </c>
      <c r="P529" t="str">
        <f t="shared" si="33"/>
        <v>True</v>
      </c>
      <c r="Q529">
        <f t="shared" si="34"/>
        <v>462818</v>
      </c>
      <c r="R529">
        <v>2022</v>
      </c>
      <c r="X529" t="str">
        <f t="shared" ca="1" si="35"/>
        <v/>
      </c>
    </row>
    <row r="530" spans="1:24" x14ac:dyDescent="0.25">
      <c r="A530" t="s">
        <v>1081</v>
      </c>
      <c r="B530" t="s">
        <v>1082</v>
      </c>
      <c r="C530" t="s">
        <v>22</v>
      </c>
      <c r="D530" t="s">
        <v>31</v>
      </c>
      <c r="E530" s="1">
        <v>44570</v>
      </c>
      <c r="F530" t="s">
        <v>14</v>
      </c>
      <c r="G530">
        <v>7248</v>
      </c>
      <c r="H530">
        <v>9409</v>
      </c>
      <c r="I530">
        <v>2.7</v>
      </c>
      <c r="J530">
        <v>49</v>
      </c>
      <c r="M530">
        <f t="shared" ca="1" si="32"/>
        <v>1279</v>
      </c>
      <c r="N530" s="3" t="str" cm="1">
        <f t="array" ref="N530">_xlfn.IFS(I530&gt;=3.5,"Excellent",I530&gt;=3,"Good",I530&gt;=2,"Average",I530&lt;2,"Poor")</f>
        <v>Average</v>
      </c>
      <c r="P530" t="str">
        <f t="shared" si="33"/>
        <v>True</v>
      </c>
      <c r="Q530">
        <f t="shared" si="34"/>
        <v>462818</v>
      </c>
      <c r="R530">
        <v>2022</v>
      </c>
      <c r="X530" t="str">
        <f t="shared" ca="1" si="35"/>
        <v/>
      </c>
    </row>
    <row r="531" spans="1:24" x14ac:dyDescent="0.25">
      <c r="A531" t="s">
        <v>1083</v>
      </c>
      <c r="B531" t="s">
        <v>1084</v>
      </c>
      <c r="C531" t="s">
        <v>12</v>
      </c>
      <c r="D531" t="s">
        <v>62</v>
      </c>
      <c r="E531" s="1">
        <v>45194</v>
      </c>
      <c r="F531" t="s">
        <v>19</v>
      </c>
      <c r="G531">
        <v>4602</v>
      </c>
      <c r="H531">
        <v>4429</v>
      </c>
      <c r="I531">
        <v>3.6</v>
      </c>
      <c r="J531">
        <v>67</v>
      </c>
      <c r="M531" t="str">
        <f t="shared" ca="1" si="32"/>
        <v/>
      </c>
      <c r="N531" s="3" t="str" cm="1">
        <f t="array" ref="N531">_xlfn.IFS(I531&gt;=3.5,"Excellent",I531&gt;=3,"Good",I531&gt;=2,"Average",I531&lt;2,"Poor")</f>
        <v>Excellent</v>
      </c>
      <c r="P531" t="str">
        <f t="shared" si="33"/>
        <v>True</v>
      </c>
      <c r="Q531">
        <f t="shared" si="34"/>
        <v>462818</v>
      </c>
      <c r="R531">
        <v>2023</v>
      </c>
      <c r="X531">
        <f t="shared" ca="1" si="35"/>
        <v>655</v>
      </c>
    </row>
    <row r="532" spans="1:24" x14ac:dyDescent="0.25">
      <c r="A532" t="s">
        <v>1085</v>
      </c>
      <c r="B532" t="s">
        <v>1086</v>
      </c>
      <c r="C532" t="s">
        <v>54</v>
      </c>
      <c r="D532" t="s">
        <v>31</v>
      </c>
      <c r="E532" s="1">
        <v>45354</v>
      </c>
      <c r="F532" t="s">
        <v>14</v>
      </c>
      <c r="G532">
        <v>10379</v>
      </c>
      <c r="H532">
        <v>4077</v>
      </c>
      <c r="I532">
        <v>3.5</v>
      </c>
      <c r="J532">
        <v>76</v>
      </c>
      <c r="M532">
        <f t="shared" ca="1" si="32"/>
        <v>495</v>
      </c>
      <c r="N532" s="3" t="str" cm="1">
        <f t="array" ref="N532">_xlfn.IFS(I532&gt;=3.5,"Excellent",I532&gt;=3,"Good",I532&gt;=2,"Average",I532&lt;2,"Poor")</f>
        <v>Excellent</v>
      </c>
      <c r="P532" t="str">
        <f t="shared" si="33"/>
        <v/>
      </c>
      <c r="Q532">
        <f t="shared" si="34"/>
        <v>462818</v>
      </c>
      <c r="R532">
        <v>2024</v>
      </c>
      <c r="X532" t="str">
        <f t="shared" ca="1" si="35"/>
        <v/>
      </c>
    </row>
    <row r="533" spans="1:24" x14ac:dyDescent="0.25">
      <c r="A533" t="s">
        <v>1087</v>
      </c>
      <c r="B533" t="s">
        <v>1088</v>
      </c>
      <c r="C533" t="s">
        <v>36</v>
      </c>
      <c r="D533" t="s">
        <v>13</v>
      </c>
      <c r="E533" s="1">
        <v>44824</v>
      </c>
      <c r="F533" t="s">
        <v>19</v>
      </c>
      <c r="G533">
        <v>11404</v>
      </c>
      <c r="H533">
        <v>8999</v>
      </c>
      <c r="I533">
        <v>2.9</v>
      </c>
      <c r="J533">
        <v>81</v>
      </c>
      <c r="M533" t="str">
        <f t="shared" ca="1" si="32"/>
        <v/>
      </c>
      <c r="N533" s="3" t="str" cm="1">
        <f t="array" ref="N533">_xlfn.IFS(I533&gt;=3.5,"Excellent",I533&gt;=3,"Good",I533&gt;=2,"Average",I533&lt;2,"Poor")</f>
        <v>Average</v>
      </c>
      <c r="P533" t="str">
        <f t="shared" si="33"/>
        <v>True</v>
      </c>
      <c r="Q533">
        <f t="shared" si="34"/>
        <v>462818</v>
      </c>
      <c r="R533">
        <v>2022</v>
      </c>
      <c r="X533">
        <f t="shared" ca="1" si="35"/>
        <v>1025</v>
      </c>
    </row>
    <row r="534" spans="1:24" x14ac:dyDescent="0.25">
      <c r="A534" t="s">
        <v>1089</v>
      </c>
      <c r="B534" t="s">
        <v>1090</v>
      </c>
      <c r="C534" t="s">
        <v>22</v>
      </c>
      <c r="D534" t="s">
        <v>62</v>
      </c>
      <c r="E534" s="1">
        <v>44821</v>
      </c>
      <c r="F534" t="s">
        <v>14</v>
      </c>
      <c r="G534">
        <v>2748</v>
      </c>
      <c r="H534">
        <v>9068</v>
      </c>
      <c r="I534">
        <v>3.73</v>
      </c>
      <c r="J534">
        <v>89</v>
      </c>
      <c r="M534">
        <f t="shared" ca="1" si="32"/>
        <v>1028</v>
      </c>
      <c r="N534" s="3" t="str" cm="1">
        <f t="array" ref="N534">_xlfn.IFS(I534&gt;=3.5,"Excellent",I534&gt;=3,"Good",I534&gt;=2,"Average",I534&lt;2,"Poor")</f>
        <v>Excellent</v>
      </c>
      <c r="P534" t="str">
        <f t="shared" si="33"/>
        <v>True</v>
      </c>
      <c r="Q534">
        <f t="shared" si="34"/>
        <v>462818</v>
      </c>
      <c r="R534">
        <v>2022</v>
      </c>
      <c r="X534" t="str">
        <f t="shared" ca="1" si="35"/>
        <v/>
      </c>
    </row>
    <row r="535" spans="1:24" x14ac:dyDescent="0.25">
      <c r="A535" t="s">
        <v>1091</v>
      </c>
      <c r="B535" t="s">
        <v>1092</v>
      </c>
      <c r="C535" t="s">
        <v>36</v>
      </c>
      <c r="D535" t="s">
        <v>31</v>
      </c>
      <c r="E535" s="1">
        <v>45158</v>
      </c>
      <c r="F535" t="s">
        <v>14</v>
      </c>
      <c r="G535">
        <v>14781</v>
      </c>
      <c r="H535">
        <v>7325</v>
      </c>
      <c r="I535">
        <v>3.22</v>
      </c>
      <c r="J535">
        <v>79</v>
      </c>
      <c r="M535">
        <f t="shared" ca="1" si="32"/>
        <v>691</v>
      </c>
      <c r="N535" s="3" t="str" cm="1">
        <f t="array" ref="N535">_xlfn.IFS(I535&gt;=3.5,"Excellent",I535&gt;=3,"Good",I535&gt;=2,"Average",I535&lt;2,"Poor")</f>
        <v>Good</v>
      </c>
      <c r="P535" t="str">
        <f t="shared" si="33"/>
        <v/>
      </c>
      <c r="Q535">
        <f t="shared" si="34"/>
        <v>462818</v>
      </c>
      <c r="R535">
        <v>2023</v>
      </c>
      <c r="X535" t="str">
        <f t="shared" ca="1" si="35"/>
        <v/>
      </c>
    </row>
    <row r="536" spans="1:24" x14ac:dyDescent="0.25">
      <c r="A536" t="s">
        <v>1093</v>
      </c>
      <c r="B536" t="s">
        <v>1094</v>
      </c>
      <c r="C536" t="s">
        <v>54</v>
      </c>
      <c r="D536" t="s">
        <v>62</v>
      </c>
      <c r="E536" s="1">
        <v>45215</v>
      </c>
      <c r="F536" t="s">
        <v>14</v>
      </c>
      <c r="G536">
        <v>8468</v>
      </c>
      <c r="H536">
        <v>802</v>
      </c>
      <c r="I536">
        <v>2.74</v>
      </c>
      <c r="J536">
        <v>117</v>
      </c>
      <c r="M536">
        <f t="shared" ca="1" si="32"/>
        <v>634</v>
      </c>
      <c r="N536" s="3" t="str" cm="1">
        <f t="array" ref="N536">_xlfn.IFS(I536&gt;=3.5,"Excellent",I536&gt;=3,"Good",I536&gt;=2,"Average",I536&lt;2,"Poor")</f>
        <v>Average</v>
      </c>
      <c r="P536" t="str">
        <f t="shared" si="33"/>
        <v/>
      </c>
      <c r="Q536">
        <f t="shared" si="34"/>
        <v>462818</v>
      </c>
      <c r="R536">
        <v>2023</v>
      </c>
      <c r="X536" t="str">
        <f t="shared" ca="1" si="35"/>
        <v/>
      </c>
    </row>
    <row r="537" spans="1:24" x14ac:dyDescent="0.25">
      <c r="A537" t="s">
        <v>1095</v>
      </c>
      <c r="B537" t="s">
        <v>1096</v>
      </c>
      <c r="C537" t="s">
        <v>22</v>
      </c>
      <c r="D537" t="s">
        <v>62</v>
      </c>
      <c r="E537" s="1">
        <v>44864</v>
      </c>
      <c r="F537" t="s">
        <v>39</v>
      </c>
      <c r="G537">
        <v>3482</v>
      </c>
      <c r="H537">
        <v>2557</v>
      </c>
      <c r="I537">
        <v>3.67</v>
      </c>
      <c r="J537">
        <v>62</v>
      </c>
      <c r="M537" t="str">
        <f t="shared" ca="1" si="32"/>
        <v/>
      </c>
      <c r="N537" s="3" t="str" cm="1">
        <f t="array" ref="N537">_xlfn.IFS(I537&gt;=3.5,"Excellent",I537&gt;=3,"Good",I537&gt;=2,"Average",I537&lt;2,"Poor")</f>
        <v>Excellent</v>
      </c>
      <c r="P537" t="str">
        <f t="shared" si="33"/>
        <v>True</v>
      </c>
      <c r="Q537">
        <f t="shared" si="34"/>
        <v>462818</v>
      </c>
      <c r="R537">
        <v>2022</v>
      </c>
      <c r="X537" t="str">
        <f t="shared" ca="1" si="35"/>
        <v/>
      </c>
    </row>
    <row r="538" spans="1:24" x14ac:dyDescent="0.25">
      <c r="A538" t="s">
        <v>1097</v>
      </c>
      <c r="B538" t="s">
        <v>1098</v>
      </c>
      <c r="C538" t="s">
        <v>12</v>
      </c>
      <c r="D538" t="s">
        <v>18</v>
      </c>
      <c r="E538" s="1">
        <v>44816</v>
      </c>
      <c r="F538" t="s">
        <v>19</v>
      </c>
      <c r="G538">
        <v>10273</v>
      </c>
      <c r="H538">
        <v>782</v>
      </c>
      <c r="I538">
        <v>2.9</v>
      </c>
      <c r="J538">
        <v>59</v>
      </c>
      <c r="M538" t="str">
        <f t="shared" ca="1" si="32"/>
        <v/>
      </c>
      <c r="N538" s="3" t="str" cm="1">
        <f t="array" ref="N538">_xlfn.IFS(I538&gt;=3.5,"Excellent",I538&gt;=3,"Good",I538&gt;=2,"Average",I538&lt;2,"Poor")</f>
        <v>Average</v>
      </c>
      <c r="P538" t="str">
        <f t="shared" si="33"/>
        <v/>
      </c>
      <c r="Q538">
        <f t="shared" si="34"/>
        <v>462818</v>
      </c>
      <c r="R538">
        <v>2022</v>
      </c>
      <c r="X538">
        <f t="shared" ca="1" si="35"/>
        <v>1033</v>
      </c>
    </row>
    <row r="539" spans="1:24" x14ac:dyDescent="0.25">
      <c r="A539" t="s">
        <v>1099</v>
      </c>
      <c r="B539" t="s">
        <v>1100</v>
      </c>
      <c r="C539" t="s">
        <v>54</v>
      </c>
      <c r="D539" t="s">
        <v>13</v>
      </c>
      <c r="E539" s="1">
        <v>44878</v>
      </c>
      <c r="F539" t="s">
        <v>14</v>
      </c>
      <c r="G539">
        <v>3359</v>
      </c>
      <c r="H539">
        <v>7027</v>
      </c>
      <c r="I539">
        <v>2.0499999999999998</v>
      </c>
      <c r="J539">
        <v>73</v>
      </c>
      <c r="M539">
        <f t="shared" ca="1" si="32"/>
        <v>971</v>
      </c>
      <c r="N539" s="3" t="str" cm="1">
        <f t="array" ref="N539">_xlfn.IFS(I539&gt;=3.5,"Excellent",I539&gt;=3,"Good",I539&gt;=2,"Average",I539&lt;2,"Poor")</f>
        <v>Average</v>
      </c>
      <c r="P539" t="str">
        <f t="shared" si="33"/>
        <v>True</v>
      </c>
      <c r="Q539">
        <f t="shared" si="34"/>
        <v>452545</v>
      </c>
      <c r="R539">
        <v>2022</v>
      </c>
      <c r="X539" t="str">
        <f t="shared" ca="1" si="35"/>
        <v/>
      </c>
    </row>
    <row r="540" spans="1:24" x14ac:dyDescent="0.25">
      <c r="A540" t="s">
        <v>1101</v>
      </c>
      <c r="B540" t="s">
        <v>1102</v>
      </c>
      <c r="C540" t="s">
        <v>22</v>
      </c>
      <c r="D540" t="s">
        <v>31</v>
      </c>
      <c r="E540" s="1">
        <v>45372</v>
      </c>
      <c r="F540" t="s">
        <v>14</v>
      </c>
      <c r="G540">
        <v>12403</v>
      </c>
      <c r="H540">
        <v>6720</v>
      </c>
      <c r="I540">
        <v>2.15</v>
      </c>
      <c r="J540">
        <v>48</v>
      </c>
      <c r="M540">
        <f t="shared" ca="1" si="32"/>
        <v>477</v>
      </c>
      <c r="N540" s="3" t="str" cm="1">
        <f t="array" ref="N540">_xlfn.IFS(I540&gt;=3.5,"Excellent",I540&gt;=3,"Good",I540&gt;=2,"Average",I540&lt;2,"Poor")</f>
        <v>Average</v>
      </c>
      <c r="P540" t="str">
        <f t="shared" si="33"/>
        <v>True</v>
      </c>
      <c r="Q540">
        <f t="shared" si="34"/>
        <v>452545</v>
      </c>
      <c r="R540">
        <v>2024</v>
      </c>
      <c r="X540" t="str">
        <f t="shared" ca="1" si="35"/>
        <v/>
      </c>
    </row>
    <row r="541" spans="1:24" x14ac:dyDescent="0.25">
      <c r="A541" t="s">
        <v>1103</v>
      </c>
      <c r="B541" t="s">
        <v>1104</v>
      </c>
      <c r="C541" t="s">
        <v>54</v>
      </c>
      <c r="D541" t="s">
        <v>18</v>
      </c>
      <c r="E541" s="1">
        <v>45156</v>
      </c>
      <c r="F541" t="s">
        <v>39</v>
      </c>
      <c r="G541">
        <v>14781</v>
      </c>
      <c r="H541">
        <v>8496</v>
      </c>
      <c r="I541">
        <v>2.42</v>
      </c>
      <c r="J541">
        <v>16</v>
      </c>
      <c r="M541" t="str">
        <f t="shared" ca="1" si="32"/>
        <v/>
      </c>
      <c r="N541" s="3" t="str" cm="1">
        <f t="array" ref="N541">_xlfn.IFS(I541&gt;=3.5,"Excellent",I541&gt;=3,"Good",I541&gt;=2,"Average",I541&lt;2,"Poor")</f>
        <v>Average</v>
      </c>
      <c r="P541" t="str">
        <f t="shared" si="33"/>
        <v>True</v>
      </c>
      <c r="Q541">
        <f t="shared" si="34"/>
        <v>452545</v>
      </c>
      <c r="R541">
        <v>2023</v>
      </c>
      <c r="X541" t="str">
        <f t="shared" ca="1" si="35"/>
        <v/>
      </c>
    </row>
    <row r="542" spans="1:24" x14ac:dyDescent="0.25">
      <c r="A542" t="s">
        <v>1105</v>
      </c>
      <c r="B542" t="s">
        <v>1106</v>
      </c>
      <c r="C542" t="s">
        <v>25</v>
      </c>
      <c r="D542" t="s">
        <v>18</v>
      </c>
      <c r="E542" s="1">
        <v>44576</v>
      </c>
      <c r="F542" t="s">
        <v>39</v>
      </c>
      <c r="G542">
        <v>11844</v>
      </c>
      <c r="H542">
        <v>3086</v>
      </c>
      <c r="I542">
        <v>2.65</v>
      </c>
      <c r="J542">
        <v>115</v>
      </c>
      <c r="M542" t="str">
        <f t="shared" ca="1" si="32"/>
        <v/>
      </c>
      <c r="N542" s="3" t="str" cm="1">
        <f t="array" ref="N542">_xlfn.IFS(I542&gt;=3.5,"Excellent",I542&gt;=3,"Good",I542&gt;=2,"Average",I542&lt;2,"Poor")</f>
        <v>Average</v>
      </c>
      <c r="P542" t="str">
        <f t="shared" si="33"/>
        <v/>
      </c>
      <c r="Q542">
        <f t="shared" si="34"/>
        <v>452545</v>
      </c>
      <c r="R542">
        <v>2022</v>
      </c>
      <c r="X542" t="str">
        <f t="shared" ca="1" si="35"/>
        <v/>
      </c>
    </row>
    <row r="543" spans="1:24" x14ac:dyDescent="0.25">
      <c r="A543" t="s">
        <v>1107</v>
      </c>
      <c r="B543" t="s">
        <v>1108</v>
      </c>
      <c r="C543" t="s">
        <v>25</v>
      </c>
      <c r="D543" t="s">
        <v>62</v>
      </c>
      <c r="E543" s="1">
        <v>44753</v>
      </c>
      <c r="F543" t="s">
        <v>14</v>
      </c>
      <c r="G543">
        <v>13562</v>
      </c>
      <c r="H543">
        <v>378</v>
      </c>
      <c r="I543">
        <v>2.88</v>
      </c>
      <c r="J543">
        <v>83</v>
      </c>
      <c r="M543">
        <f t="shared" ca="1" si="32"/>
        <v>1096</v>
      </c>
      <c r="N543" s="3" t="str" cm="1">
        <f t="array" ref="N543">_xlfn.IFS(I543&gt;=3.5,"Excellent",I543&gt;=3,"Good",I543&gt;=2,"Average",I543&lt;2,"Poor")</f>
        <v>Average</v>
      </c>
      <c r="P543" t="str">
        <f t="shared" si="33"/>
        <v/>
      </c>
      <c r="Q543">
        <f t="shared" si="34"/>
        <v>452545</v>
      </c>
      <c r="R543">
        <v>2022</v>
      </c>
      <c r="X543" t="str">
        <f t="shared" ca="1" si="35"/>
        <v/>
      </c>
    </row>
    <row r="544" spans="1:24" x14ac:dyDescent="0.25">
      <c r="A544" t="s">
        <v>1109</v>
      </c>
      <c r="B544" t="s">
        <v>1110</v>
      </c>
      <c r="C544" t="s">
        <v>28</v>
      </c>
      <c r="D544" t="s">
        <v>18</v>
      </c>
      <c r="E544" s="1">
        <v>44585</v>
      </c>
      <c r="F544" t="s">
        <v>14</v>
      </c>
      <c r="G544">
        <v>6188</v>
      </c>
      <c r="H544">
        <v>3078</v>
      </c>
      <c r="I544">
        <v>3.67</v>
      </c>
      <c r="J544">
        <v>45</v>
      </c>
      <c r="M544">
        <f t="shared" ca="1" si="32"/>
        <v>1264</v>
      </c>
      <c r="N544" s="3" t="str" cm="1">
        <f t="array" ref="N544">_xlfn.IFS(I544&gt;=3.5,"Excellent",I544&gt;=3,"Good",I544&gt;=2,"Average",I544&lt;2,"Poor")</f>
        <v>Excellent</v>
      </c>
      <c r="P544" t="str">
        <f t="shared" si="33"/>
        <v/>
      </c>
      <c r="Q544">
        <f t="shared" si="34"/>
        <v>452545</v>
      </c>
      <c r="R544">
        <v>2022</v>
      </c>
      <c r="X544" t="str">
        <f t="shared" ca="1" si="35"/>
        <v/>
      </c>
    </row>
    <row r="545" spans="1:24" x14ac:dyDescent="0.25">
      <c r="A545" t="s">
        <v>1111</v>
      </c>
      <c r="B545" t="s">
        <v>1112</v>
      </c>
      <c r="C545" t="s">
        <v>54</v>
      </c>
      <c r="D545" t="s">
        <v>62</v>
      </c>
      <c r="E545" s="1">
        <v>45276</v>
      </c>
      <c r="F545" t="s">
        <v>14</v>
      </c>
      <c r="G545">
        <v>9594</v>
      </c>
      <c r="H545">
        <v>2423</v>
      </c>
      <c r="I545">
        <v>2.1</v>
      </c>
      <c r="J545">
        <v>96</v>
      </c>
      <c r="M545">
        <f t="shared" ca="1" si="32"/>
        <v>573</v>
      </c>
      <c r="N545" s="3" t="str" cm="1">
        <f t="array" ref="N545">_xlfn.IFS(I545&gt;=3.5,"Excellent",I545&gt;=3,"Good",I545&gt;=2,"Average",I545&lt;2,"Poor")</f>
        <v>Average</v>
      </c>
      <c r="P545" t="str">
        <f t="shared" si="33"/>
        <v/>
      </c>
      <c r="Q545">
        <f t="shared" si="34"/>
        <v>452545</v>
      </c>
      <c r="R545">
        <v>2023</v>
      </c>
      <c r="X545" t="str">
        <f t="shared" ca="1" si="35"/>
        <v/>
      </c>
    </row>
    <row r="546" spans="1:24" x14ac:dyDescent="0.25">
      <c r="A546" t="s">
        <v>1113</v>
      </c>
      <c r="B546" t="s">
        <v>1114</v>
      </c>
      <c r="C546" t="s">
        <v>54</v>
      </c>
      <c r="D546" t="s">
        <v>13</v>
      </c>
      <c r="E546" s="1">
        <v>45082</v>
      </c>
      <c r="F546" t="s">
        <v>39</v>
      </c>
      <c r="G546">
        <v>11109</v>
      </c>
      <c r="H546">
        <v>8899</v>
      </c>
      <c r="I546">
        <v>3.47</v>
      </c>
      <c r="J546">
        <v>109</v>
      </c>
      <c r="M546" t="str">
        <f t="shared" ca="1" si="32"/>
        <v/>
      </c>
      <c r="N546" s="3" t="str" cm="1">
        <f t="array" ref="N546">_xlfn.IFS(I546&gt;=3.5,"Excellent",I546&gt;=3,"Good",I546&gt;=2,"Average",I546&lt;2,"Poor")</f>
        <v>Good</v>
      </c>
      <c r="P546" t="str">
        <f t="shared" si="33"/>
        <v>True</v>
      </c>
      <c r="Q546">
        <f t="shared" si="34"/>
        <v>452545</v>
      </c>
      <c r="R546">
        <v>2023</v>
      </c>
      <c r="X546" t="str">
        <f t="shared" ca="1" si="35"/>
        <v/>
      </c>
    </row>
    <row r="547" spans="1:24" x14ac:dyDescent="0.25">
      <c r="A547" t="s">
        <v>1115</v>
      </c>
      <c r="B547" t="s">
        <v>1116</v>
      </c>
      <c r="C547" t="s">
        <v>28</v>
      </c>
      <c r="D547" t="s">
        <v>18</v>
      </c>
      <c r="E547" s="1">
        <v>45077</v>
      </c>
      <c r="F547" t="s">
        <v>14</v>
      </c>
      <c r="G547">
        <v>13950</v>
      </c>
      <c r="H547">
        <v>6684</v>
      </c>
      <c r="I547">
        <v>2.37</v>
      </c>
      <c r="J547">
        <v>103</v>
      </c>
      <c r="M547">
        <f t="shared" ca="1" si="32"/>
        <v>772</v>
      </c>
      <c r="N547" s="3" t="str" cm="1">
        <f t="array" ref="N547">_xlfn.IFS(I547&gt;=3.5,"Excellent",I547&gt;=3,"Good",I547&gt;=2,"Average",I547&lt;2,"Poor")</f>
        <v>Average</v>
      </c>
      <c r="P547" t="str">
        <f t="shared" si="33"/>
        <v/>
      </c>
      <c r="Q547">
        <f t="shared" si="34"/>
        <v>452545</v>
      </c>
      <c r="R547">
        <v>2023</v>
      </c>
      <c r="X547" t="str">
        <f t="shared" ca="1" si="35"/>
        <v/>
      </c>
    </row>
    <row r="548" spans="1:24" x14ac:dyDescent="0.25">
      <c r="A548" t="s">
        <v>1117</v>
      </c>
      <c r="B548" t="s">
        <v>1118</v>
      </c>
      <c r="C548" t="s">
        <v>25</v>
      </c>
      <c r="D548" t="s">
        <v>18</v>
      </c>
      <c r="E548" s="1">
        <v>44989</v>
      </c>
      <c r="F548" t="s">
        <v>14</v>
      </c>
      <c r="G548">
        <v>13070</v>
      </c>
      <c r="H548">
        <v>5252</v>
      </c>
      <c r="I548">
        <v>2.19</v>
      </c>
      <c r="J548">
        <v>94</v>
      </c>
      <c r="M548">
        <f t="shared" ca="1" si="32"/>
        <v>860</v>
      </c>
      <c r="N548" s="3" t="str" cm="1">
        <f t="array" ref="N548">_xlfn.IFS(I548&gt;=3.5,"Excellent",I548&gt;=3,"Good",I548&gt;=2,"Average",I548&lt;2,"Poor")</f>
        <v>Average</v>
      </c>
      <c r="P548" t="str">
        <f t="shared" si="33"/>
        <v/>
      </c>
      <c r="Q548">
        <f t="shared" si="34"/>
        <v>452545</v>
      </c>
      <c r="R548">
        <v>2023</v>
      </c>
      <c r="X548" t="str">
        <f t="shared" ca="1" si="35"/>
        <v/>
      </c>
    </row>
    <row r="549" spans="1:24" x14ac:dyDescent="0.25">
      <c r="A549" t="s">
        <v>1119</v>
      </c>
      <c r="B549" t="s">
        <v>1120</v>
      </c>
      <c r="C549" t="s">
        <v>57</v>
      </c>
      <c r="D549" t="s">
        <v>31</v>
      </c>
      <c r="E549" s="1">
        <v>44673</v>
      </c>
      <c r="F549" t="s">
        <v>39</v>
      </c>
      <c r="G549">
        <v>6161</v>
      </c>
      <c r="H549">
        <v>9625</v>
      </c>
      <c r="I549">
        <v>2.84</v>
      </c>
      <c r="J549">
        <v>50</v>
      </c>
      <c r="M549" t="str">
        <f t="shared" ca="1" si="32"/>
        <v/>
      </c>
      <c r="N549" s="3" t="str" cm="1">
        <f t="array" ref="N549">_xlfn.IFS(I549&gt;=3.5,"Excellent",I549&gt;=3,"Good",I549&gt;=2,"Average",I549&lt;2,"Poor")</f>
        <v>Average</v>
      </c>
      <c r="P549" t="str">
        <f t="shared" si="33"/>
        <v>True</v>
      </c>
      <c r="Q549">
        <f t="shared" si="34"/>
        <v>452545</v>
      </c>
      <c r="R549">
        <v>2022</v>
      </c>
      <c r="X549" t="str">
        <f t="shared" ca="1" si="35"/>
        <v/>
      </c>
    </row>
    <row r="550" spans="1:24" x14ac:dyDescent="0.25">
      <c r="A550" t="s">
        <v>1121</v>
      </c>
      <c r="B550" t="s">
        <v>1122</v>
      </c>
      <c r="C550" t="s">
        <v>28</v>
      </c>
      <c r="D550" t="s">
        <v>13</v>
      </c>
      <c r="E550" s="1">
        <v>45052</v>
      </c>
      <c r="F550" t="s">
        <v>19</v>
      </c>
      <c r="G550">
        <v>14816</v>
      </c>
      <c r="H550">
        <v>1546</v>
      </c>
      <c r="I550">
        <v>3.69</v>
      </c>
      <c r="J550">
        <v>31</v>
      </c>
      <c r="M550" t="str">
        <f t="shared" ca="1" si="32"/>
        <v/>
      </c>
      <c r="N550" s="3" t="str" cm="1">
        <f t="array" ref="N550">_xlfn.IFS(I550&gt;=3.5,"Excellent",I550&gt;=3,"Good",I550&gt;=2,"Average",I550&lt;2,"Poor")</f>
        <v>Excellent</v>
      </c>
      <c r="P550" t="str">
        <f t="shared" si="33"/>
        <v/>
      </c>
      <c r="Q550">
        <f t="shared" si="34"/>
        <v>452545</v>
      </c>
      <c r="R550">
        <v>2023</v>
      </c>
      <c r="X550">
        <f t="shared" ca="1" si="35"/>
        <v>797</v>
      </c>
    </row>
    <row r="551" spans="1:24" x14ac:dyDescent="0.25">
      <c r="A551" t="s">
        <v>1123</v>
      </c>
      <c r="B551" t="s">
        <v>1124</v>
      </c>
      <c r="C551" t="s">
        <v>17</v>
      </c>
      <c r="D551" t="s">
        <v>18</v>
      </c>
      <c r="E551" s="1">
        <v>45350</v>
      </c>
      <c r="F551" t="s">
        <v>19</v>
      </c>
      <c r="G551">
        <v>4781</v>
      </c>
      <c r="H551">
        <v>667</v>
      </c>
      <c r="I551">
        <v>3.11</v>
      </c>
      <c r="J551">
        <v>32</v>
      </c>
      <c r="M551" t="str">
        <f t="shared" ca="1" si="32"/>
        <v/>
      </c>
      <c r="N551" s="3" t="str" cm="1">
        <f t="array" ref="N551">_xlfn.IFS(I551&gt;=3.5,"Excellent",I551&gt;=3,"Good",I551&gt;=2,"Average",I551&lt;2,"Poor")</f>
        <v>Good</v>
      </c>
      <c r="P551" t="str">
        <f t="shared" si="33"/>
        <v/>
      </c>
      <c r="Q551">
        <f t="shared" si="34"/>
        <v>452545</v>
      </c>
      <c r="R551">
        <v>2024</v>
      </c>
      <c r="X551">
        <f t="shared" ca="1" si="35"/>
        <v>499</v>
      </c>
    </row>
    <row r="552" spans="1:24" x14ac:dyDescent="0.25">
      <c r="A552" t="s">
        <v>1125</v>
      </c>
      <c r="B552" t="s">
        <v>1126</v>
      </c>
      <c r="C552" t="s">
        <v>12</v>
      </c>
      <c r="D552" t="s">
        <v>13</v>
      </c>
      <c r="E552" s="1">
        <v>45428</v>
      </c>
      <c r="F552" t="s">
        <v>39</v>
      </c>
      <c r="G552">
        <v>9289</v>
      </c>
      <c r="H552">
        <v>4906</v>
      </c>
      <c r="I552">
        <v>2.2599999999999998</v>
      </c>
      <c r="J552">
        <v>105</v>
      </c>
      <c r="M552" t="str">
        <f t="shared" ca="1" si="32"/>
        <v/>
      </c>
      <c r="N552" s="3" t="str" cm="1">
        <f t="array" ref="N552">_xlfn.IFS(I552&gt;=3.5,"Excellent",I552&gt;=3,"Good",I552&gt;=2,"Average",I552&lt;2,"Poor")</f>
        <v>Average</v>
      </c>
      <c r="P552" t="str">
        <f t="shared" si="33"/>
        <v>True</v>
      </c>
      <c r="Q552">
        <f t="shared" si="34"/>
        <v>447764</v>
      </c>
      <c r="R552">
        <v>2024</v>
      </c>
      <c r="X552" t="str">
        <f t="shared" ca="1" si="35"/>
        <v/>
      </c>
    </row>
    <row r="553" spans="1:24" x14ac:dyDescent="0.25">
      <c r="A553" t="s">
        <v>1127</v>
      </c>
      <c r="B553" t="s">
        <v>1128</v>
      </c>
      <c r="C553" t="s">
        <v>17</v>
      </c>
      <c r="D553" t="s">
        <v>31</v>
      </c>
      <c r="E553" s="1">
        <v>45370</v>
      </c>
      <c r="F553" t="s">
        <v>14</v>
      </c>
      <c r="G553">
        <v>4151</v>
      </c>
      <c r="H553">
        <v>7945</v>
      </c>
      <c r="I553">
        <v>3.12</v>
      </c>
      <c r="J553">
        <v>45</v>
      </c>
      <c r="M553">
        <f t="shared" ca="1" si="32"/>
        <v>479</v>
      </c>
      <c r="N553" s="3" t="str" cm="1">
        <f t="array" ref="N553">_xlfn.IFS(I553&gt;=3.5,"Excellent",I553&gt;=3,"Good",I553&gt;=2,"Average",I553&lt;2,"Poor")</f>
        <v>Good</v>
      </c>
      <c r="P553" t="str">
        <f t="shared" si="33"/>
        <v>True</v>
      </c>
      <c r="Q553">
        <f t="shared" si="34"/>
        <v>447764</v>
      </c>
      <c r="R553">
        <v>2024</v>
      </c>
      <c r="X553" t="str">
        <f t="shared" ca="1" si="35"/>
        <v/>
      </c>
    </row>
    <row r="554" spans="1:24" x14ac:dyDescent="0.25">
      <c r="A554" t="s">
        <v>1129</v>
      </c>
      <c r="B554" t="s">
        <v>1130</v>
      </c>
      <c r="C554" t="s">
        <v>25</v>
      </c>
      <c r="D554" t="s">
        <v>18</v>
      </c>
      <c r="E554" s="1">
        <v>44966</v>
      </c>
      <c r="F554" t="s">
        <v>19</v>
      </c>
      <c r="G554">
        <v>13343</v>
      </c>
      <c r="H554">
        <v>4903</v>
      </c>
      <c r="I554">
        <v>2.77</v>
      </c>
      <c r="J554">
        <v>39</v>
      </c>
      <c r="M554" t="str">
        <f t="shared" ca="1" si="32"/>
        <v/>
      </c>
      <c r="N554" s="3" t="str" cm="1">
        <f t="array" ref="N554">_xlfn.IFS(I554&gt;=3.5,"Excellent",I554&gt;=3,"Good",I554&gt;=2,"Average",I554&lt;2,"Poor")</f>
        <v>Average</v>
      </c>
      <c r="P554" t="str">
        <f t="shared" si="33"/>
        <v/>
      </c>
      <c r="Q554">
        <f t="shared" si="34"/>
        <v>447764</v>
      </c>
      <c r="R554">
        <v>2023</v>
      </c>
      <c r="X554">
        <f t="shared" ca="1" si="35"/>
        <v>883</v>
      </c>
    </row>
    <row r="555" spans="1:24" x14ac:dyDescent="0.25">
      <c r="A555" t="s">
        <v>1131</v>
      </c>
      <c r="B555" t="s">
        <v>1132</v>
      </c>
      <c r="C555" t="s">
        <v>25</v>
      </c>
      <c r="D555" t="s">
        <v>31</v>
      </c>
      <c r="E555" s="1">
        <v>45115</v>
      </c>
      <c r="F555" t="s">
        <v>14</v>
      </c>
      <c r="G555">
        <v>2460</v>
      </c>
      <c r="H555">
        <v>4560</v>
      </c>
      <c r="I555">
        <v>3.8</v>
      </c>
      <c r="J555">
        <v>62</v>
      </c>
      <c r="M555">
        <f t="shared" ca="1" si="32"/>
        <v>734</v>
      </c>
      <c r="N555" s="3" t="str" cm="1">
        <f t="array" ref="N555">_xlfn.IFS(I555&gt;=3.5,"Excellent",I555&gt;=3,"Good",I555&gt;=2,"Average",I555&lt;2,"Poor")</f>
        <v>Excellent</v>
      </c>
      <c r="P555" t="str">
        <f t="shared" si="33"/>
        <v>True</v>
      </c>
      <c r="Q555">
        <f t="shared" si="34"/>
        <v>434421</v>
      </c>
      <c r="R555">
        <v>2023</v>
      </c>
      <c r="X555" t="str">
        <f t="shared" ca="1" si="35"/>
        <v/>
      </c>
    </row>
    <row r="556" spans="1:24" x14ac:dyDescent="0.25">
      <c r="A556" t="s">
        <v>1133</v>
      </c>
      <c r="B556" t="s">
        <v>1134</v>
      </c>
      <c r="C556" t="s">
        <v>28</v>
      </c>
      <c r="D556" t="s">
        <v>13</v>
      </c>
      <c r="E556" s="1">
        <v>45204</v>
      </c>
      <c r="F556" t="s">
        <v>19</v>
      </c>
      <c r="G556">
        <v>10553</v>
      </c>
      <c r="H556">
        <v>3008</v>
      </c>
      <c r="I556">
        <v>2.37</v>
      </c>
      <c r="J556">
        <v>3</v>
      </c>
      <c r="M556" t="str">
        <f t="shared" ca="1" si="32"/>
        <v/>
      </c>
      <c r="N556" s="3" t="str" cm="1">
        <f t="array" ref="N556">_xlfn.IFS(I556&gt;=3.5,"Excellent",I556&gt;=3,"Good",I556&gt;=2,"Average",I556&lt;2,"Poor")</f>
        <v>Average</v>
      </c>
      <c r="P556" t="str">
        <f t="shared" si="33"/>
        <v/>
      </c>
      <c r="Q556">
        <f t="shared" si="34"/>
        <v>434421</v>
      </c>
      <c r="R556">
        <v>2023</v>
      </c>
      <c r="X556">
        <f t="shared" ca="1" si="35"/>
        <v>645</v>
      </c>
    </row>
    <row r="557" spans="1:24" x14ac:dyDescent="0.25">
      <c r="A557" t="s">
        <v>1135</v>
      </c>
      <c r="B557" t="s">
        <v>1136</v>
      </c>
      <c r="C557" t="s">
        <v>28</v>
      </c>
      <c r="D557" t="s">
        <v>31</v>
      </c>
      <c r="E557" s="1">
        <v>45060</v>
      </c>
      <c r="F557" t="s">
        <v>19</v>
      </c>
      <c r="G557">
        <v>5975</v>
      </c>
      <c r="H557">
        <v>3830</v>
      </c>
      <c r="I557">
        <v>2.06</v>
      </c>
      <c r="J557">
        <v>96</v>
      </c>
      <c r="M557" t="str">
        <f t="shared" ca="1" si="32"/>
        <v/>
      </c>
      <c r="N557" s="3" t="str" cm="1">
        <f t="array" ref="N557">_xlfn.IFS(I557&gt;=3.5,"Excellent",I557&gt;=3,"Good",I557&gt;=2,"Average",I557&lt;2,"Poor")</f>
        <v>Average</v>
      </c>
      <c r="P557" t="str">
        <f t="shared" si="33"/>
        <v>True</v>
      </c>
      <c r="Q557">
        <f t="shared" si="34"/>
        <v>434421</v>
      </c>
      <c r="R557">
        <v>2023</v>
      </c>
      <c r="X557">
        <f t="shared" ca="1" si="35"/>
        <v>789</v>
      </c>
    </row>
    <row r="558" spans="1:24" x14ac:dyDescent="0.25">
      <c r="A558" t="s">
        <v>1137</v>
      </c>
      <c r="B558" t="s">
        <v>1138</v>
      </c>
      <c r="C558" t="s">
        <v>28</v>
      </c>
      <c r="D558" t="s">
        <v>13</v>
      </c>
      <c r="E558" s="1">
        <v>45422</v>
      </c>
      <c r="F558" t="s">
        <v>14</v>
      </c>
      <c r="G558">
        <v>9200</v>
      </c>
      <c r="H558">
        <v>1956</v>
      </c>
      <c r="I558">
        <v>2.95</v>
      </c>
      <c r="J558">
        <v>97</v>
      </c>
      <c r="M558">
        <f t="shared" ca="1" si="32"/>
        <v>427</v>
      </c>
      <c r="N558" s="3" t="str" cm="1">
        <f t="array" ref="N558">_xlfn.IFS(I558&gt;=3.5,"Excellent",I558&gt;=3,"Good",I558&gt;=2,"Average",I558&lt;2,"Poor")</f>
        <v>Average</v>
      </c>
      <c r="P558" t="str">
        <f t="shared" si="33"/>
        <v/>
      </c>
      <c r="Q558">
        <f t="shared" si="34"/>
        <v>434421</v>
      </c>
      <c r="R558">
        <v>2024</v>
      </c>
      <c r="X558" t="str">
        <f t="shared" ca="1" si="35"/>
        <v/>
      </c>
    </row>
    <row r="559" spans="1:24" x14ac:dyDescent="0.25">
      <c r="A559" t="s">
        <v>1139</v>
      </c>
      <c r="B559" t="s">
        <v>1140</v>
      </c>
      <c r="C559" t="s">
        <v>12</v>
      </c>
      <c r="D559" t="s">
        <v>13</v>
      </c>
      <c r="E559" s="1">
        <v>45065</v>
      </c>
      <c r="F559" t="s">
        <v>19</v>
      </c>
      <c r="G559">
        <v>7875</v>
      </c>
      <c r="H559">
        <v>6378</v>
      </c>
      <c r="I559">
        <v>2.09</v>
      </c>
      <c r="J559">
        <v>90</v>
      </c>
      <c r="M559" t="str">
        <f t="shared" ca="1" si="32"/>
        <v/>
      </c>
      <c r="N559" s="3" t="str" cm="1">
        <f t="array" ref="N559">_xlfn.IFS(I559&gt;=3.5,"Excellent",I559&gt;=3,"Good",I559&gt;=2,"Average",I559&lt;2,"Poor")</f>
        <v>Average</v>
      </c>
      <c r="P559" t="str">
        <f t="shared" si="33"/>
        <v>True</v>
      </c>
      <c r="Q559">
        <f t="shared" si="34"/>
        <v>434421</v>
      </c>
      <c r="R559">
        <v>2023</v>
      </c>
      <c r="X559">
        <f t="shared" ca="1" si="35"/>
        <v>784</v>
      </c>
    </row>
    <row r="560" spans="1:24" x14ac:dyDescent="0.25">
      <c r="A560" t="s">
        <v>1141</v>
      </c>
      <c r="B560" t="s">
        <v>1142</v>
      </c>
      <c r="C560" t="s">
        <v>54</v>
      </c>
      <c r="D560" t="s">
        <v>62</v>
      </c>
      <c r="E560" s="1">
        <v>44725</v>
      </c>
      <c r="F560" t="s">
        <v>14</v>
      </c>
      <c r="G560">
        <v>9704</v>
      </c>
      <c r="H560">
        <v>8153</v>
      </c>
      <c r="I560">
        <v>2.33</v>
      </c>
      <c r="J560">
        <v>101</v>
      </c>
      <c r="M560">
        <f t="shared" ca="1" si="32"/>
        <v>1124</v>
      </c>
      <c r="N560" s="3" t="str" cm="1">
        <f t="array" ref="N560">_xlfn.IFS(I560&gt;=3.5,"Excellent",I560&gt;=3,"Good",I560&gt;=2,"Average",I560&lt;2,"Poor")</f>
        <v>Average</v>
      </c>
      <c r="P560" t="str">
        <f t="shared" si="33"/>
        <v>True</v>
      </c>
      <c r="Q560">
        <f t="shared" si="34"/>
        <v>434421</v>
      </c>
      <c r="R560">
        <v>2022</v>
      </c>
      <c r="X560" t="str">
        <f t="shared" ca="1" si="35"/>
        <v/>
      </c>
    </row>
    <row r="561" spans="1:24" x14ac:dyDescent="0.25">
      <c r="A561" t="s">
        <v>1143</v>
      </c>
      <c r="B561" t="s">
        <v>1144</v>
      </c>
      <c r="C561" t="s">
        <v>57</v>
      </c>
      <c r="D561" t="s">
        <v>31</v>
      </c>
      <c r="E561" s="1">
        <v>44858</v>
      </c>
      <c r="F561" t="s">
        <v>14</v>
      </c>
      <c r="G561">
        <v>13578</v>
      </c>
      <c r="H561">
        <v>8755</v>
      </c>
      <c r="I561">
        <v>3.16</v>
      </c>
      <c r="J561">
        <v>33</v>
      </c>
      <c r="M561">
        <f t="shared" ca="1" si="32"/>
        <v>991</v>
      </c>
      <c r="N561" s="3" t="str" cm="1">
        <f t="array" ref="N561">_xlfn.IFS(I561&gt;=3.5,"Excellent",I561&gt;=3,"Good",I561&gt;=2,"Average",I561&lt;2,"Poor")</f>
        <v>Good</v>
      </c>
      <c r="P561" t="str">
        <f t="shared" si="33"/>
        <v>True</v>
      </c>
      <c r="Q561">
        <f t="shared" si="34"/>
        <v>434421</v>
      </c>
      <c r="R561">
        <v>2022</v>
      </c>
      <c r="X561" t="str">
        <f t="shared" ca="1" si="35"/>
        <v/>
      </c>
    </row>
    <row r="562" spans="1:24" x14ac:dyDescent="0.25">
      <c r="A562" t="s">
        <v>1145</v>
      </c>
      <c r="B562" t="s">
        <v>1146</v>
      </c>
      <c r="C562" t="s">
        <v>54</v>
      </c>
      <c r="D562" t="s">
        <v>13</v>
      </c>
      <c r="E562" s="1">
        <v>44752</v>
      </c>
      <c r="F562" t="s">
        <v>39</v>
      </c>
      <c r="G562">
        <v>3192</v>
      </c>
      <c r="H562">
        <v>633</v>
      </c>
      <c r="I562">
        <v>2.71</v>
      </c>
      <c r="J562">
        <v>86</v>
      </c>
      <c r="M562" t="str">
        <f t="shared" ca="1" si="32"/>
        <v/>
      </c>
      <c r="N562" s="3" t="str" cm="1">
        <f t="array" ref="N562">_xlfn.IFS(I562&gt;=3.5,"Excellent",I562&gt;=3,"Good",I562&gt;=2,"Average",I562&lt;2,"Poor")</f>
        <v>Average</v>
      </c>
      <c r="P562" t="str">
        <f t="shared" si="33"/>
        <v/>
      </c>
      <c r="Q562">
        <f t="shared" si="34"/>
        <v>434421</v>
      </c>
      <c r="R562">
        <v>2022</v>
      </c>
      <c r="X562" t="str">
        <f t="shared" ca="1" si="35"/>
        <v/>
      </c>
    </row>
    <row r="563" spans="1:24" x14ac:dyDescent="0.25">
      <c r="A563" t="s">
        <v>1147</v>
      </c>
      <c r="B563" t="s">
        <v>1148</v>
      </c>
      <c r="C563" t="s">
        <v>17</v>
      </c>
      <c r="D563" t="s">
        <v>18</v>
      </c>
      <c r="E563" s="1">
        <v>45160</v>
      </c>
      <c r="F563" t="s">
        <v>14</v>
      </c>
      <c r="G563">
        <v>7449</v>
      </c>
      <c r="H563">
        <v>1118</v>
      </c>
      <c r="I563">
        <v>2.88</v>
      </c>
      <c r="J563">
        <v>77</v>
      </c>
      <c r="M563">
        <f t="shared" ca="1" si="32"/>
        <v>689</v>
      </c>
      <c r="N563" s="3" t="str" cm="1">
        <f t="array" ref="N563">_xlfn.IFS(I563&gt;=3.5,"Excellent",I563&gt;=3,"Good",I563&gt;=2,"Average",I563&lt;2,"Poor")</f>
        <v>Average</v>
      </c>
      <c r="P563" t="str">
        <f t="shared" si="33"/>
        <v/>
      </c>
      <c r="Q563">
        <f t="shared" si="34"/>
        <v>434421</v>
      </c>
      <c r="R563">
        <v>2023</v>
      </c>
      <c r="X563" t="str">
        <f t="shared" ca="1" si="35"/>
        <v/>
      </c>
    </row>
    <row r="564" spans="1:24" x14ac:dyDescent="0.25">
      <c r="A564" t="s">
        <v>1149</v>
      </c>
      <c r="B564" t="s">
        <v>1150</v>
      </c>
      <c r="C564" t="s">
        <v>36</v>
      </c>
      <c r="D564" t="s">
        <v>31</v>
      </c>
      <c r="E564" s="1">
        <v>45266</v>
      </c>
      <c r="F564" t="s">
        <v>14</v>
      </c>
      <c r="G564">
        <v>2638</v>
      </c>
      <c r="H564">
        <v>4498</v>
      </c>
      <c r="I564">
        <v>3</v>
      </c>
      <c r="J564">
        <v>20</v>
      </c>
      <c r="M564">
        <f t="shared" ca="1" si="32"/>
        <v>583</v>
      </c>
      <c r="N564" s="3" t="str" cm="1">
        <f t="array" ref="N564">_xlfn.IFS(I564&gt;=3.5,"Excellent",I564&gt;=3,"Good",I564&gt;=2,"Average",I564&lt;2,"Poor")</f>
        <v>Good</v>
      </c>
      <c r="P564" t="str">
        <f t="shared" si="33"/>
        <v>True</v>
      </c>
      <c r="Q564">
        <f t="shared" si="34"/>
        <v>434421</v>
      </c>
      <c r="R564">
        <v>2023</v>
      </c>
      <c r="X564" t="str">
        <f t="shared" ca="1" si="35"/>
        <v/>
      </c>
    </row>
    <row r="565" spans="1:24" x14ac:dyDescent="0.25">
      <c r="A565" t="s">
        <v>1151</v>
      </c>
      <c r="B565" t="s">
        <v>1152</v>
      </c>
      <c r="C565" t="s">
        <v>25</v>
      </c>
      <c r="D565" t="s">
        <v>62</v>
      </c>
      <c r="E565" s="1">
        <v>44752</v>
      </c>
      <c r="F565" t="s">
        <v>19</v>
      </c>
      <c r="G565">
        <v>4665</v>
      </c>
      <c r="H565">
        <v>4520</v>
      </c>
      <c r="I565">
        <v>3.43</v>
      </c>
      <c r="J565">
        <v>81</v>
      </c>
      <c r="M565" t="str">
        <f t="shared" ca="1" si="32"/>
        <v/>
      </c>
      <c r="N565" s="3" t="str" cm="1">
        <f t="array" ref="N565">_xlfn.IFS(I565&gt;=3.5,"Excellent",I565&gt;=3,"Good",I565&gt;=2,"Average",I565&lt;2,"Poor")</f>
        <v>Good</v>
      </c>
      <c r="P565" t="str">
        <f t="shared" si="33"/>
        <v>True</v>
      </c>
      <c r="Q565">
        <f t="shared" si="34"/>
        <v>434421</v>
      </c>
      <c r="R565">
        <v>2022</v>
      </c>
      <c r="X565">
        <f t="shared" ca="1" si="35"/>
        <v>1097</v>
      </c>
    </row>
    <row r="566" spans="1:24" x14ac:dyDescent="0.25">
      <c r="A566" t="s">
        <v>1153</v>
      </c>
      <c r="B566" t="s">
        <v>1154</v>
      </c>
      <c r="C566" t="s">
        <v>12</v>
      </c>
      <c r="D566" t="s">
        <v>31</v>
      </c>
      <c r="E566" s="1">
        <v>45316</v>
      </c>
      <c r="F566" t="s">
        <v>39</v>
      </c>
      <c r="G566">
        <v>6305</v>
      </c>
      <c r="H566">
        <v>7832</v>
      </c>
      <c r="I566">
        <v>3.16</v>
      </c>
      <c r="J566">
        <v>104</v>
      </c>
      <c r="M566" t="str">
        <f t="shared" ca="1" si="32"/>
        <v/>
      </c>
      <c r="N566" s="3" t="str" cm="1">
        <f t="array" ref="N566">_xlfn.IFS(I566&gt;=3.5,"Excellent",I566&gt;=3,"Good",I566&gt;=2,"Average",I566&lt;2,"Poor")</f>
        <v>Good</v>
      </c>
      <c r="P566" t="str">
        <f t="shared" si="33"/>
        <v>True</v>
      </c>
      <c r="Q566">
        <f t="shared" si="34"/>
        <v>434421</v>
      </c>
      <c r="R566">
        <v>2024</v>
      </c>
      <c r="X566" t="str">
        <f t="shared" ca="1" si="35"/>
        <v/>
      </c>
    </row>
    <row r="567" spans="1:24" x14ac:dyDescent="0.25">
      <c r="A567" t="s">
        <v>1155</v>
      </c>
      <c r="B567" t="s">
        <v>1156</v>
      </c>
      <c r="C567" t="s">
        <v>12</v>
      </c>
      <c r="D567" t="s">
        <v>13</v>
      </c>
      <c r="E567" s="1">
        <v>44919</v>
      </c>
      <c r="F567" t="s">
        <v>14</v>
      </c>
      <c r="G567">
        <v>5186</v>
      </c>
      <c r="H567">
        <v>2277</v>
      </c>
      <c r="I567">
        <v>2.34</v>
      </c>
      <c r="J567">
        <v>3</v>
      </c>
      <c r="M567">
        <f t="shared" ca="1" si="32"/>
        <v>930</v>
      </c>
      <c r="N567" s="3" t="str" cm="1">
        <f t="array" ref="N567">_xlfn.IFS(I567&gt;=3.5,"Excellent",I567&gt;=3,"Good",I567&gt;=2,"Average",I567&lt;2,"Poor")</f>
        <v>Average</v>
      </c>
      <c r="P567" t="str">
        <f t="shared" si="33"/>
        <v/>
      </c>
      <c r="Q567">
        <f t="shared" si="34"/>
        <v>434421</v>
      </c>
      <c r="R567">
        <v>2022</v>
      </c>
      <c r="X567" t="str">
        <f t="shared" ca="1" si="35"/>
        <v/>
      </c>
    </row>
    <row r="568" spans="1:24" x14ac:dyDescent="0.25">
      <c r="A568" t="s">
        <v>1157</v>
      </c>
      <c r="B568" t="s">
        <v>1158</v>
      </c>
      <c r="C568" t="s">
        <v>25</v>
      </c>
      <c r="D568" t="s">
        <v>62</v>
      </c>
      <c r="E568" s="1">
        <v>44772</v>
      </c>
      <c r="F568" t="s">
        <v>39</v>
      </c>
      <c r="G568">
        <v>11323</v>
      </c>
      <c r="H568">
        <v>9086</v>
      </c>
      <c r="I568">
        <v>3.11</v>
      </c>
      <c r="J568">
        <v>89</v>
      </c>
      <c r="M568" t="str">
        <f t="shared" ca="1" si="32"/>
        <v/>
      </c>
      <c r="N568" s="3" t="str" cm="1">
        <f t="array" ref="N568">_xlfn.IFS(I568&gt;=3.5,"Excellent",I568&gt;=3,"Good",I568&gt;=2,"Average",I568&lt;2,"Poor")</f>
        <v>Good</v>
      </c>
      <c r="P568" t="str">
        <f t="shared" si="33"/>
        <v>True</v>
      </c>
      <c r="Q568">
        <f t="shared" si="34"/>
        <v>434421</v>
      </c>
      <c r="R568">
        <v>2022</v>
      </c>
      <c r="X568" t="str">
        <f t="shared" ca="1" si="35"/>
        <v/>
      </c>
    </row>
    <row r="569" spans="1:24" x14ac:dyDescent="0.25">
      <c r="A569" t="s">
        <v>1159</v>
      </c>
      <c r="B569" t="s">
        <v>1160</v>
      </c>
      <c r="C569" t="s">
        <v>54</v>
      </c>
      <c r="D569" t="s">
        <v>62</v>
      </c>
      <c r="E569" s="1">
        <v>44755</v>
      </c>
      <c r="F569" t="s">
        <v>14</v>
      </c>
      <c r="G569">
        <v>6456</v>
      </c>
      <c r="H569">
        <v>5205</v>
      </c>
      <c r="I569">
        <v>3.71</v>
      </c>
      <c r="J569">
        <v>15</v>
      </c>
      <c r="M569">
        <f t="shared" ca="1" si="32"/>
        <v>1094</v>
      </c>
      <c r="N569" s="3" t="str" cm="1">
        <f t="array" ref="N569">_xlfn.IFS(I569&gt;=3.5,"Excellent",I569&gt;=3,"Good",I569&gt;=2,"Average",I569&lt;2,"Poor")</f>
        <v>Excellent</v>
      </c>
      <c r="P569" t="str">
        <f t="shared" si="33"/>
        <v>True</v>
      </c>
      <c r="Q569">
        <f t="shared" si="34"/>
        <v>434421</v>
      </c>
      <c r="R569">
        <v>2022</v>
      </c>
      <c r="X569" t="str">
        <f t="shared" ca="1" si="35"/>
        <v/>
      </c>
    </row>
    <row r="570" spans="1:24" x14ac:dyDescent="0.25">
      <c r="A570" t="s">
        <v>1161</v>
      </c>
      <c r="B570" t="s">
        <v>1162</v>
      </c>
      <c r="C570" t="s">
        <v>25</v>
      </c>
      <c r="D570" t="s">
        <v>62</v>
      </c>
      <c r="E570" s="1">
        <v>44824</v>
      </c>
      <c r="F570" t="s">
        <v>19</v>
      </c>
      <c r="G570">
        <v>3925</v>
      </c>
      <c r="H570">
        <v>5671</v>
      </c>
      <c r="I570">
        <v>2.15</v>
      </c>
      <c r="J570">
        <v>95</v>
      </c>
      <c r="M570" t="str">
        <f t="shared" ca="1" si="32"/>
        <v/>
      </c>
      <c r="N570" s="3" t="str" cm="1">
        <f t="array" ref="N570">_xlfn.IFS(I570&gt;=3.5,"Excellent",I570&gt;=3,"Good",I570&gt;=2,"Average",I570&lt;2,"Poor")</f>
        <v>Average</v>
      </c>
      <c r="P570" t="str">
        <f t="shared" si="33"/>
        <v>True</v>
      </c>
      <c r="Q570">
        <f t="shared" si="34"/>
        <v>434421</v>
      </c>
      <c r="R570">
        <v>2022</v>
      </c>
      <c r="X570">
        <f t="shared" ca="1" si="35"/>
        <v>1025</v>
      </c>
    </row>
    <row r="571" spans="1:24" x14ac:dyDescent="0.25">
      <c r="A571" t="s">
        <v>1163</v>
      </c>
      <c r="B571" t="s">
        <v>1164</v>
      </c>
      <c r="C571" t="s">
        <v>22</v>
      </c>
      <c r="D571" t="s">
        <v>31</v>
      </c>
      <c r="E571" s="1">
        <v>45203</v>
      </c>
      <c r="F571" t="s">
        <v>14</v>
      </c>
      <c r="G571">
        <v>11329</v>
      </c>
      <c r="H571">
        <v>5904</v>
      </c>
      <c r="I571">
        <v>2.35</v>
      </c>
      <c r="J571">
        <v>35</v>
      </c>
      <c r="M571">
        <f t="shared" ca="1" si="32"/>
        <v>646</v>
      </c>
      <c r="N571" s="3" t="str" cm="1">
        <f t="array" ref="N571">_xlfn.IFS(I571&gt;=3.5,"Excellent",I571&gt;=3,"Good",I571&gt;=2,"Average",I571&lt;2,"Poor")</f>
        <v>Average</v>
      </c>
      <c r="P571" t="str">
        <f t="shared" si="33"/>
        <v>True</v>
      </c>
      <c r="Q571">
        <f t="shared" si="34"/>
        <v>434421</v>
      </c>
      <c r="R571">
        <v>2023</v>
      </c>
      <c r="X571" t="str">
        <f t="shared" ca="1" si="35"/>
        <v/>
      </c>
    </row>
    <row r="572" spans="1:24" x14ac:dyDescent="0.25">
      <c r="A572" t="s">
        <v>1165</v>
      </c>
      <c r="B572" t="s">
        <v>1166</v>
      </c>
      <c r="C572" t="s">
        <v>54</v>
      </c>
      <c r="D572" t="s">
        <v>62</v>
      </c>
      <c r="E572" s="1">
        <v>45368</v>
      </c>
      <c r="F572" t="s">
        <v>14</v>
      </c>
      <c r="G572">
        <v>5357</v>
      </c>
      <c r="H572">
        <v>1523</v>
      </c>
      <c r="I572">
        <v>3.96</v>
      </c>
      <c r="J572">
        <v>23</v>
      </c>
      <c r="M572">
        <f t="shared" ca="1" si="32"/>
        <v>481</v>
      </c>
      <c r="N572" s="3" t="str" cm="1">
        <f t="array" ref="N572">_xlfn.IFS(I572&gt;=3.5,"Excellent",I572&gt;=3,"Good",I572&gt;=2,"Average",I572&lt;2,"Poor")</f>
        <v>Excellent</v>
      </c>
      <c r="P572" t="str">
        <f t="shared" si="33"/>
        <v/>
      </c>
      <c r="Q572">
        <f t="shared" si="34"/>
        <v>434421</v>
      </c>
      <c r="R572">
        <v>2024</v>
      </c>
      <c r="X572" t="str">
        <f t="shared" ca="1" si="35"/>
        <v/>
      </c>
    </row>
    <row r="573" spans="1:24" x14ac:dyDescent="0.25">
      <c r="A573" t="s">
        <v>1167</v>
      </c>
      <c r="B573" t="s">
        <v>1168</v>
      </c>
      <c r="C573" t="s">
        <v>22</v>
      </c>
      <c r="D573" t="s">
        <v>13</v>
      </c>
      <c r="E573" s="1">
        <v>45088</v>
      </c>
      <c r="F573" t="s">
        <v>19</v>
      </c>
      <c r="G573">
        <v>10853</v>
      </c>
      <c r="H573">
        <v>5377</v>
      </c>
      <c r="I573">
        <v>3.52</v>
      </c>
      <c r="J573">
        <v>12</v>
      </c>
      <c r="M573" t="str">
        <f t="shared" ca="1" si="32"/>
        <v/>
      </c>
      <c r="N573" s="3" t="str" cm="1">
        <f t="array" ref="N573">_xlfn.IFS(I573&gt;=3.5,"Excellent",I573&gt;=3,"Good",I573&gt;=2,"Average",I573&lt;2,"Poor")</f>
        <v>Excellent</v>
      </c>
      <c r="P573" t="str">
        <f t="shared" si="33"/>
        <v/>
      </c>
      <c r="Q573">
        <f t="shared" si="34"/>
        <v>434421</v>
      </c>
      <c r="R573">
        <v>2023</v>
      </c>
      <c r="X573">
        <f t="shared" ca="1" si="35"/>
        <v>761</v>
      </c>
    </row>
    <row r="574" spans="1:24" x14ac:dyDescent="0.25">
      <c r="A574" t="s">
        <v>1169</v>
      </c>
      <c r="B574" t="s">
        <v>1170</v>
      </c>
      <c r="C574" t="s">
        <v>17</v>
      </c>
      <c r="D574" t="s">
        <v>13</v>
      </c>
      <c r="E574" s="1">
        <v>45362</v>
      </c>
      <c r="F574" t="s">
        <v>19</v>
      </c>
      <c r="G574">
        <v>3136</v>
      </c>
      <c r="H574">
        <v>1799</v>
      </c>
      <c r="I574">
        <v>3.99</v>
      </c>
      <c r="J574">
        <v>94</v>
      </c>
      <c r="M574" t="str">
        <f t="shared" ca="1" si="32"/>
        <v/>
      </c>
      <c r="N574" s="3" t="str" cm="1">
        <f t="array" ref="N574">_xlfn.IFS(I574&gt;=3.5,"Excellent",I574&gt;=3,"Good",I574&gt;=2,"Average",I574&lt;2,"Poor")</f>
        <v>Excellent</v>
      </c>
      <c r="P574" t="str">
        <f t="shared" si="33"/>
        <v>True</v>
      </c>
      <c r="Q574">
        <f t="shared" si="34"/>
        <v>434421</v>
      </c>
      <c r="R574">
        <v>2024</v>
      </c>
      <c r="X574">
        <f t="shared" ca="1" si="35"/>
        <v>487</v>
      </c>
    </row>
    <row r="575" spans="1:24" x14ac:dyDescent="0.25">
      <c r="A575" t="s">
        <v>1171</v>
      </c>
      <c r="B575" t="s">
        <v>1172</v>
      </c>
      <c r="C575" t="s">
        <v>22</v>
      </c>
      <c r="D575" t="s">
        <v>13</v>
      </c>
      <c r="E575" s="1">
        <v>45323</v>
      </c>
      <c r="F575" t="s">
        <v>14</v>
      </c>
      <c r="G575">
        <v>12521</v>
      </c>
      <c r="H575">
        <v>6705</v>
      </c>
      <c r="I575">
        <v>2.34</v>
      </c>
      <c r="J575">
        <v>105</v>
      </c>
      <c r="M575">
        <f t="shared" ca="1" si="32"/>
        <v>526</v>
      </c>
      <c r="N575" s="3" t="str" cm="1">
        <f t="array" ref="N575">_xlfn.IFS(I575&gt;=3.5,"Excellent",I575&gt;=3,"Good",I575&gt;=2,"Average",I575&lt;2,"Poor")</f>
        <v>Average</v>
      </c>
      <c r="P575" t="str">
        <f t="shared" si="33"/>
        <v>True</v>
      </c>
      <c r="Q575">
        <f t="shared" si="34"/>
        <v>434421</v>
      </c>
      <c r="R575">
        <v>2024</v>
      </c>
      <c r="X575" t="str">
        <f t="shared" ca="1" si="35"/>
        <v/>
      </c>
    </row>
    <row r="576" spans="1:24" x14ac:dyDescent="0.25">
      <c r="A576" t="s">
        <v>1173</v>
      </c>
      <c r="B576" t="s">
        <v>1174</v>
      </c>
      <c r="C576" t="s">
        <v>22</v>
      </c>
      <c r="D576" t="s">
        <v>18</v>
      </c>
      <c r="E576" s="1">
        <v>45078</v>
      </c>
      <c r="F576" t="s">
        <v>14</v>
      </c>
      <c r="G576">
        <v>8123</v>
      </c>
      <c r="H576">
        <v>7824</v>
      </c>
      <c r="I576">
        <v>2.29</v>
      </c>
      <c r="J576">
        <v>5</v>
      </c>
      <c r="M576">
        <f t="shared" ca="1" si="32"/>
        <v>771</v>
      </c>
      <c r="N576" s="3" t="str" cm="1">
        <f t="array" ref="N576">_xlfn.IFS(I576&gt;=3.5,"Excellent",I576&gt;=3,"Good",I576&gt;=2,"Average",I576&lt;2,"Poor")</f>
        <v>Average</v>
      </c>
      <c r="P576" t="str">
        <f t="shared" si="33"/>
        <v>True</v>
      </c>
      <c r="Q576">
        <f t="shared" si="34"/>
        <v>434421</v>
      </c>
      <c r="R576">
        <v>2023</v>
      </c>
      <c r="X576" t="str">
        <f t="shared" ca="1" si="35"/>
        <v/>
      </c>
    </row>
    <row r="577" spans="1:24" x14ac:dyDescent="0.25">
      <c r="A577" t="s">
        <v>1175</v>
      </c>
      <c r="B577" t="s">
        <v>1176</v>
      </c>
      <c r="C577" t="s">
        <v>28</v>
      </c>
      <c r="D577" t="s">
        <v>62</v>
      </c>
      <c r="E577" s="1">
        <v>45007</v>
      </c>
      <c r="F577" t="s">
        <v>14</v>
      </c>
      <c r="G577">
        <v>11134</v>
      </c>
      <c r="H577">
        <v>8004</v>
      </c>
      <c r="I577">
        <v>2.4500000000000002</v>
      </c>
      <c r="J577">
        <v>67</v>
      </c>
      <c r="M577">
        <f t="shared" ca="1" si="32"/>
        <v>842</v>
      </c>
      <c r="N577" s="3" t="str" cm="1">
        <f t="array" ref="N577">_xlfn.IFS(I577&gt;=3.5,"Excellent",I577&gt;=3,"Good",I577&gt;=2,"Average",I577&lt;2,"Poor")</f>
        <v>Average</v>
      </c>
      <c r="P577" t="str">
        <f t="shared" si="33"/>
        <v>True</v>
      </c>
      <c r="Q577">
        <f t="shared" si="34"/>
        <v>434421</v>
      </c>
      <c r="R577">
        <v>2023</v>
      </c>
      <c r="X577" t="str">
        <f t="shared" ca="1" si="35"/>
        <v/>
      </c>
    </row>
    <row r="578" spans="1:24" x14ac:dyDescent="0.25">
      <c r="A578" t="s">
        <v>1177</v>
      </c>
      <c r="B578" t="s">
        <v>1178</v>
      </c>
      <c r="C578" t="s">
        <v>36</v>
      </c>
      <c r="D578" t="s">
        <v>62</v>
      </c>
      <c r="E578" s="1">
        <v>45328</v>
      </c>
      <c r="F578" t="s">
        <v>19</v>
      </c>
      <c r="G578">
        <v>5281</v>
      </c>
      <c r="H578">
        <v>602</v>
      </c>
      <c r="I578">
        <v>2.7</v>
      </c>
      <c r="J578">
        <v>20</v>
      </c>
      <c r="M578" t="str">
        <f t="shared" ca="1" si="32"/>
        <v/>
      </c>
      <c r="N578" s="3" t="str" cm="1">
        <f t="array" ref="N578">_xlfn.IFS(I578&gt;=3.5,"Excellent",I578&gt;=3,"Good",I578&gt;=2,"Average",I578&lt;2,"Poor")</f>
        <v>Average</v>
      </c>
      <c r="P578" t="str">
        <f t="shared" si="33"/>
        <v/>
      </c>
      <c r="Q578">
        <f t="shared" si="34"/>
        <v>434421</v>
      </c>
      <c r="R578">
        <v>2024</v>
      </c>
      <c r="X578">
        <f t="shared" ca="1" si="35"/>
        <v>521</v>
      </c>
    </row>
    <row r="579" spans="1:24" x14ac:dyDescent="0.25">
      <c r="A579" t="s">
        <v>1179</v>
      </c>
      <c r="B579" t="s">
        <v>1180</v>
      </c>
      <c r="C579" t="s">
        <v>25</v>
      </c>
      <c r="D579" t="s">
        <v>18</v>
      </c>
      <c r="E579" s="1">
        <v>45051</v>
      </c>
      <c r="F579" t="s">
        <v>14</v>
      </c>
      <c r="G579">
        <v>6006</v>
      </c>
      <c r="H579">
        <v>3641</v>
      </c>
      <c r="I579">
        <v>3.61</v>
      </c>
      <c r="J579">
        <v>28</v>
      </c>
      <c r="M579">
        <f t="shared" ref="M579:M642" ca="1" si="36">IF(F579="Enrolled",TODAY()-E579,"")</f>
        <v>798</v>
      </c>
      <c r="N579" s="3" t="str" cm="1">
        <f t="array" ref="N579">_xlfn.IFS(I579&gt;=3.5,"Excellent",I579&gt;=3,"Good",I579&gt;=2,"Average",I579&lt;2,"Poor")</f>
        <v>Excellent</v>
      </c>
      <c r="P579" t="str">
        <f t="shared" ref="P579:P642" si="37">IF(H579&gt;0.5*G579,"True","")</f>
        <v>True</v>
      </c>
      <c r="Q579">
        <f t="shared" ref="Q579:Q642" si="38">SUMIFS(G579:G1778,F579:F1778,"Completed",D579:D1778,"Science")</f>
        <v>434421</v>
      </c>
      <c r="R579">
        <v>2023</v>
      </c>
      <c r="X579" t="str">
        <f t="shared" ref="X579:X642" ca="1" si="39">IF(F579="Completed",TODAY()-E579,"")</f>
        <v/>
      </c>
    </row>
    <row r="580" spans="1:24" x14ac:dyDescent="0.25">
      <c r="A580" t="s">
        <v>1181</v>
      </c>
      <c r="B580" t="s">
        <v>1182</v>
      </c>
      <c r="C580" t="s">
        <v>28</v>
      </c>
      <c r="D580" t="s">
        <v>62</v>
      </c>
      <c r="E580" s="1">
        <v>45333</v>
      </c>
      <c r="F580" t="s">
        <v>14</v>
      </c>
      <c r="G580">
        <v>12212</v>
      </c>
      <c r="H580">
        <v>8831</v>
      </c>
      <c r="I580">
        <v>2.0499999999999998</v>
      </c>
      <c r="J580">
        <v>69</v>
      </c>
      <c r="M580">
        <f t="shared" ca="1" si="36"/>
        <v>516</v>
      </c>
      <c r="N580" s="3" t="str" cm="1">
        <f t="array" ref="N580">_xlfn.IFS(I580&gt;=3.5,"Excellent",I580&gt;=3,"Good",I580&gt;=2,"Average",I580&lt;2,"Poor")</f>
        <v>Average</v>
      </c>
      <c r="P580" t="str">
        <f t="shared" si="37"/>
        <v>True</v>
      </c>
      <c r="Q580">
        <f t="shared" si="38"/>
        <v>434421</v>
      </c>
      <c r="R580">
        <v>2024</v>
      </c>
      <c r="X580" t="str">
        <f t="shared" ca="1" si="39"/>
        <v/>
      </c>
    </row>
    <row r="581" spans="1:24" x14ac:dyDescent="0.25">
      <c r="A581" t="s">
        <v>1183</v>
      </c>
      <c r="B581" t="s">
        <v>1184</v>
      </c>
      <c r="C581" t="s">
        <v>28</v>
      </c>
      <c r="D581" t="s">
        <v>62</v>
      </c>
      <c r="E581" s="1">
        <v>45380</v>
      </c>
      <c r="F581" t="s">
        <v>14</v>
      </c>
      <c r="G581">
        <v>6847</v>
      </c>
      <c r="H581">
        <v>6140</v>
      </c>
      <c r="I581">
        <v>3.94</v>
      </c>
      <c r="J581">
        <v>49</v>
      </c>
      <c r="M581">
        <f t="shared" ca="1" si="36"/>
        <v>469</v>
      </c>
      <c r="N581" s="3" t="str" cm="1">
        <f t="array" ref="N581">_xlfn.IFS(I581&gt;=3.5,"Excellent",I581&gt;=3,"Good",I581&gt;=2,"Average",I581&lt;2,"Poor")</f>
        <v>Excellent</v>
      </c>
      <c r="P581" t="str">
        <f t="shared" si="37"/>
        <v>True</v>
      </c>
      <c r="Q581">
        <f t="shared" si="38"/>
        <v>434421</v>
      </c>
      <c r="R581">
        <v>2024</v>
      </c>
      <c r="X581" t="str">
        <f t="shared" ca="1" si="39"/>
        <v/>
      </c>
    </row>
    <row r="582" spans="1:24" x14ac:dyDescent="0.25">
      <c r="A582" t="s">
        <v>1185</v>
      </c>
      <c r="B582" t="s">
        <v>1186</v>
      </c>
      <c r="C582" t="s">
        <v>12</v>
      </c>
      <c r="D582" t="s">
        <v>13</v>
      </c>
      <c r="E582" s="1">
        <v>45268</v>
      </c>
      <c r="F582" t="s">
        <v>14</v>
      </c>
      <c r="G582">
        <v>6408</v>
      </c>
      <c r="H582">
        <v>6290</v>
      </c>
      <c r="I582">
        <v>2.67</v>
      </c>
      <c r="J582">
        <v>110</v>
      </c>
      <c r="M582">
        <f t="shared" ca="1" si="36"/>
        <v>581</v>
      </c>
      <c r="N582" s="3" t="str" cm="1">
        <f t="array" ref="N582">_xlfn.IFS(I582&gt;=3.5,"Excellent",I582&gt;=3,"Good",I582&gt;=2,"Average",I582&lt;2,"Poor")</f>
        <v>Average</v>
      </c>
      <c r="P582" t="str">
        <f t="shared" si="37"/>
        <v>True</v>
      </c>
      <c r="Q582">
        <f t="shared" si="38"/>
        <v>434421</v>
      </c>
      <c r="R582">
        <v>2023</v>
      </c>
      <c r="X582" t="str">
        <f t="shared" ca="1" si="39"/>
        <v/>
      </c>
    </row>
    <row r="583" spans="1:24" x14ac:dyDescent="0.25">
      <c r="A583" t="s">
        <v>1187</v>
      </c>
      <c r="B583" t="s">
        <v>1188</v>
      </c>
      <c r="C583" t="s">
        <v>12</v>
      </c>
      <c r="D583" t="s">
        <v>31</v>
      </c>
      <c r="E583" s="1">
        <v>44846</v>
      </c>
      <c r="F583" t="s">
        <v>19</v>
      </c>
      <c r="G583">
        <v>6458</v>
      </c>
      <c r="H583">
        <v>6091</v>
      </c>
      <c r="I583">
        <v>3.39</v>
      </c>
      <c r="J583">
        <v>52</v>
      </c>
      <c r="M583" t="str">
        <f t="shared" ca="1" si="36"/>
        <v/>
      </c>
      <c r="N583" s="3" t="str" cm="1">
        <f t="array" ref="N583">_xlfn.IFS(I583&gt;=3.5,"Excellent",I583&gt;=3,"Good",I583&gt;=2,"Average",I583&lt;2,"Poor")</f>
        <v>Good</v>
      </c>
      <c r="P583" t="str">
        <f t="shared" si="37"/>
        <v>True</v>
      </c>
      <c r="Q583">
        <f t="shared" si="38"/>
        <v>434421</v>
      </c>
      <c r="R583">
        <v>2022</v>
      </c>
      <c r="X583">
        <f t="shared" ca="1" si="39"/>
        <v>1003</v>
      </c>
    </row>
    <row r="584" spans="1:24" x14ac:dyDescent="0.25">
      <c r="A584" t="s">
        <v>1189</v>
      </c>
      <c r="B584" t="s">
        <v>1190</v>
      </c>
      <c r="C584" t="s">
        <v>28</v>
      </c>
      <c r="D584" t="s">
        <v>18</v>
      </c>
      <c r="E584" s="1">
        <v>45128</v>
      </c>
      <c r="F584" t="s">
        <v>14</v>
      </c>
      <c r="G584">
        <v>4352</v>
      </c>
      <c r="H584">
        <v>2341</v>
      </c>
      <c r="I584">
        <v>3.26</v>
      </c>
      <c r="J584">
        <v>87</v>
      </c>
      <c r="M584">
        <f t="shared" ca="1" si="36"/>
        <v>721</v>
      </c>
      <c r="N584" s="3" t="str" cm="1">
        <f t="array" ref="N584">_xlfn.IFS(I584&gt;=3.5,"Excellent",I584&gt;=3,"Good",I584&gt;=2,"Average",I584&lt;2,"Poor")</f>
        <v>Good</v>
      </c>
      <c r="P584" t="str">
        <f t="shared" si="37"/>
        <v>True</v>
      </c>
      <c r="Q584">
        <f t="shared" si="38"/>
        <v>434421</v>
      </c>
      <c r="R584">
        <v>2023</v>
      </c>
      <c r="X584" t="str">
        <f t="shared" ca="1" si="39"/>
        <v/>
      </c>
    </row>
    <row r="585" spans="1:24" x14ac:dyDescent="0.25">
      <c r="A585" t="s">
        <v>1191</v>
      </c>
      <c r="B585" t="s">
        <v>1192</v>
      </c>
      <c r="C585" t="s">
        <v>12</v>
      </c>
      <c r="D585" t="s">
        <v>13</v>
      </c>
      <c r="E585" s="1">
        <v>45361</v>
      </c>
      <c r="F585" t="s">
        <v>19</v>
      </c>
      <c r="G585">
        <v>4096</v>
      </c>
      <c r="H585">
        <v>591</v>
      </c>
      <c r="I585">
        <v>2.02</v>
      </c>
      <c r="J585">
        <v>49</v>
      </c>
      <c r="M585" t="str">
        <f t="shared" ca="1" si="36"/>
        <v/>
      </c>
      <c r="N585" s="3" t="str" cm="1">
        <f t="array" ref="N585">_xlfn.IFS(I585&gt;=3.5,"Excellent",I585&gt;=3,"Good",I585&gt;=2,"Average",I585&lt;2,"Poor")</f>
        <v>Average</v>
      </c>
      <c r="P585" t="str">
        <f t="shared" si="37"/>
        <v/>
      </c>
      <c r="Q585">
        <f t="shared" si="38"/>
        <v>434421</v>
      </c>
      <c r="R585">
        <v>2024</v>
      </c>
      <c r="X585">
        <f t="shared" ca="1" si="39"/>
        <v>488</v>
      </c>
    </row>
    <row r="586" spans="1:24" x14ac:dyDescent="0.25">
      <c r="A586" t="s">
        <v>1193</v>
      </c>
      <c r="B586" t="s">
        <v>1194</v>
      </c>
      <c r="C586" t="s">
        <v>25</v>
      </c>
      <c r="D586" t="s">
        <v>31</v>
      </c>
      <c r="E586" s="1">
        <v>44857</v>
      </c>
      <c r="F586" t="s">
        <v>14</v>
      </c>
      <c r="G586">
        <v>3042</v>
      </c>
      <c r="H586">
        <v>1972</v>
      </c>
      <c r="I586">
        <v>2.2599999999999998</v>
      </c>
      <c r="J586">
        <v>31</v>
      </c>
      <c r="M586">
        <f t="shared" ca="1" si="36"/>
        <v>992</v>
      </c>
      <c r="N586" s="3" t="str" cm="1">
        <f t="array" ref="N586">_xlfn.IFS(I586&gt;=3.5,"Excellent",I586&gt;=3,"Good",I586&gt;=2,"Average",I586&lt;2,"Poor")</f>
        <v>Average</v>
      </c>
      <c r="P586" t="str">
        <f t="shared" si="37"/>
        <v>True</v>
      </c>
      <c r="Q586">
        <f t="shared" si="38"/>
        <v>434421</v>
      </c>
      <c r="R586">
        <v>2022</v>
      </c>
      <c r="X586" t="str">
        <f t="shared" ca="1" si="39"/>
        <v/>
      </c>
    </row>
    <row r="587" spans="1:24" x14ac:dyDescent="0.25">
      <c r="A587" t="s">
        <v>1195</v>
      </c>
      <c r="B587" t="s">
        <v>1196</v>
      </c>
      <c r="C587" t="s">
        <v>54</v>
      </c>
      <c r="D587" t="s">
        <v>31</v>
      </c>
      <c r="E587" s="1">
        <v>45307</v>
      </c>
      <c r="F587" t="s">
        <v>19</v>
      </c>
      <c r="G587">
        <v>8295</v>
      </c>
      <c r="H587">
        <v>7450</v>
      </c>
      <c r="I587">
        <v>2.56</v>
      </c>
      <c r="J587">
        <v>1</v>
      </c>
      <c r="M587" t="str">
        <f t="shared" ca="1" si="36"/>
        <v/>
      </c>
      <c r="N587" s="3" t="str" cm="1">
        <f t="array" ref="N587">_xlfn.IFS(I587&gt;=3.5,"Excellent",I587&gt;=3,"Good",I587&gt;=2,"Average",I587&lt;2,"Poor")</f>
        <v>Average</v>
      </c>
      <c r="P587" t="str">
        <f t="shared" si="37"/>
        <v>True</v>
      </c>
      <c r="Q587">
        <f t="shared" si="38"/>
        <v>434421</v>
      </c>
      <c r="R587">
        <v>2024</v>
      </c>
      <c r="X587">
        <f t="shared" ca="1" si="39"/>
        <v>542</v>
      </c>
    </row>
    <row r="588" spans="1:24" x14ac:dyDescent="0.25">
      <c r="A588" t="s">
        <v>1197</v>
      </c>
      <c r="B588" t="s">
        <v>1198</v>
      </c>
      <c r="C588" t="s">
        <v>25</v>
      </c>
      <c r="D588" t="s">
        <v>62</v>
      </c>
      <c r="E588" s="1">
        <v>45157</v>
      </c>
      <c r="F588" t="s">
        <v>19</v>
      </c>
      <c r="G588">
        <v>2625</v>
      </c>
      <c r="H588">
        <v>8101</v>
      </c>
      <c r="I588">
        <v>3.82</v>
      </c>
      <c r="J588">
        <v>95</v>
      </c>
      <c r="M588" t="str">
        <f t="shared" ca="1" si="36"/>
        <v/>
      </c>
      <c r="N588" s="3" t="str" cm="1">
        <f t="array" ref="N588">_xlfn.IFS(I588&gt;=3.5,"Excellent",I588&gt;=3,"Good",I588&gt;=2,"Average",I588&lt;2,"Poor")</f>
        <v>Excellent</v>
      </c>
      <c r="P588" t="str">
        <f t="shared" si="37"/>
        <v>True</v>
      </c>
      <c r="Q588">
        <f t="shared" si="38"/>
        <v>434421</v>
      </c>
      <c r="R588">
        <v>2023</v>
      </c>
      <c r="X588">
        <f t="shared" ca="1" si="39"/>
        <v>692</v>
      </c>
    </row>
    <row r="589" spans="1:24" x14ac:dyDescent="0.25">
      <c r="A589" t="s">
        <v>1199</v>
      </c>
      <c r="B589" t="s">
        <v>1200</v>
      </c>
      <c r="C589" t="s">
        <v>22</v>
      </c>
      <c r="D589" t="s">
        <v>31</v>
      </c>
      <c r="E589" s="1">
        <v>45021</v>
      </c>
      <c r="F589" t="s">
        <v>14</v>
      </c>
      <c r="G589">
        <v>14579</v>
      </c>
      <c r="H589">
        <v>3149</v>
      </c>
      <c r="I589">
        <v>2.8</v>
      </c>
      <c r="J589">
        <v>89</v>
      </c>
      <c r="M589">
        <f t="shared" ca="1" si="36"/>
        <v>828</v>
      </c>
      <c r="N589" s="3" t="str" cm="1">
        <f t="array" ref="N589">_xlfn.IFS(I589&gt;=3.5,"Excellent",I589&gt;=3,"Good",I589&gt;=2,"Average",I589&lt;2,"Poor")</f>
        <v>Average</v>
      </c>
      <c r="P589" t="str">
        <f t="shared" si="37"/>
        <v/>
      </c>
      <c r="Q589">
        <f t="shared" si="38"/>
        <v>434421</v>
      </c>
      <c r="R589">
        <v>2023</v>
      </c>
      <c r="X589" t="str">
        <f t="shared" ca="1" si="39"/>
        <v/>
      </c>
    </row>
    <row r="590" spans="1:24" x14ac:dyDescent="0.25">
      <c r="A590" t="s">
        <v>1201</v>
      </c>
      <c r="B590" t="s">
        <v>1202</v>
      </c>
      <c r="C590" t="s">
        <v>17</v>
      </c>
      <c r="D590" t="s">
        <v>62</v>
      </c>
      <c r="E590" s="1">
        <v>44712</v>
      </c>
      <c r="F590" t="s">
        <v>19</v>
      </c>
      <c r="G590">
        <v>3331</v>
      </c>
      <c r="H590">
        <v>1957</v>
      </c>
      <c r="I590">
        <v>3.12</v>
      </c>
      <c r="J590">
        <v>57</v>
      </c>
      <c r="M590" t="str">
        <f t="shared" ca="1" si="36"/>
        <v/>
      </c>
      <c r="N590" s="3" t="str" cm="1">
        <f t="array" ref="N590">_xlfn.IFS(I590&gt;=3.5,"Excellent",I590&gt;=3,"Good",I590&gt;=2,"Average",I590&lt;2,"Poor")</f>
        <v>Good</v>
      </c>
      <c r="P590" t="str">
        <f t="shared" si="37"/>
        <v>True</v>
      </c>
      <c r="Q590">
        <f t="shared" si="38"/>
        <v>434421</v>
      </c>
      <c r="R590">
        <v>2022</v>
      </c>
      <c r="X590">
        <f t="shared" ca="1" si="39"/>
        <v>1137</v>
      </c>
    </row>
    <row r="591" spans="1:24" x14ac:dyDescent="0.25">
      <c r="A591" t="s">
        <v>1203</v>
      </c>
      <c r="B591" t="s">
        <v>1204</v>
      </c>
      <c r="C591" t="s">
        <v>22</v>
      </c>
      <c r="D591" t="s">
        <v>31</v>
      </c>
      <c r="E591" s="1">
        <v>45392</v>
      </c>
      <c r="F591" t="s">
        <v>19</v>
      </c>
      <c r="G591">
        <v>13756</v>
      </c>
      <c r="H591">
        <v>1521</v>
      </c>
      <c r="I591">
        <v>3.84</v>
      </c>
      <c r="J591">
        <v>0</v>
      </c>
      <c r="M591" t="str">
        <f t="shared" ca="1" si="36"/>
        <v/>
      </c>
      <c r="N591" s="3" t="str" cm="1">
        <f t="array" ref="N591">_xlfn.IFS(I591&gt;=3.5,"Excellent",I591&gt;=3,"Good",I591&gt;=2,"Average",I591&lt;2,"Poor")</f>
        <v>Excellent</v>
      </c>
      <c r="P591" t="str">
        <f t="shared" si="37"/>
        <v/>
      </c>
      <c r="Q591">
        <f t="shared" si="38"/>
        <v>434421</v>
      </c>
      <c r="R591">
        <v>2024</v>
      </c>
      <c r="X591">
        <f t="shared" ca="1" si="39"/>
        <v>457</v>
      </c>
    </row>
    <row r="592" spans="1:24" x14ac:dyDescent="0.25">
      <c r="A592" t="s">
        <v>1205</v>
      </c>
      <c r="B592" t="s">
        <v>1206</v>
      </c>
      <c r="C592" t="s">
        <v>54</v>
      </c>
      <c r="D592" t="s">
        <v>31</v>
      </c>
      <c r="E592" s="1">
        <v>44940</v>
      </c>
      <c r="F592" t="s">
        <v>14</v>
      </c>
      <c r="G592">
        <v>2069</v>
      </c>
      <c r="H592">
        <v>9168</v>
      </c>
      <c r="I592">
        <v>2.4</v>
      </c>
      <c r="J592">
        <v>60</v>
      </c>
      <c r="M592">
        <f t="shared" ca="1" si="36"/>
        <v>909</v>
      </c>
      <c r="N592" s="3" t="str" cm="1">
        <f t="array" ref="N592">_xlfn.IFS(I592&gt;=3.5,"Excellent",I592&gt;=3,"Good",I592&gt;=2,"Average",I592&lt;2,"Poor")</f>
        <v>Average</v>
      </c>
      <c r="P592" t="str">
        <f t="shared" si="37"/>
        <v>True</v>
      </c>
      <c r="Q592">
        <f t="shared" si="38"/>
        <v>434421</v>
      </c>
      <c r="R592">
        <v>2023</v>
      </c>
      <c r="X592" t="str">
        <f t="shared" ca="1" si="39"/>
        <v/>
      </c>
    </row>
    <row r="593" spans="1:24" x14ac:dyDescent="0.25">
      <c r="A593" t="s">
        <v>1207</v>
      </c>
      <c r="B593" t="s">
        <v>1208</v>
      </c>
      <c r="C593" t="s">
        <v>25</v>
      </c>
      <c r="D593" t="s">
        <v>13</v>
      </c>
      <c r="E593" s="1">
        <v>45441</v>
      </c>
      <c r="F593" t="s">
        <v>14</v>
      </c>
      <c r="G593">
        <v>12736</v>
      </c>
      <c r="H593">
        <v>86</v>
      </c>
      <c r="I593">
        <v>3.52</v>
      </c>
      <c r="J593">
        <v>30</v>
      </c>
      <c r="M593">
        <f t="shared" ca="1" si="36"/>
        <v>408</v>
      </c>
      <c r="N593" s="3" t="str" cm="1">
        <f t="array" ref="N593">_xlfn.IFS(I593&gt;=3.5,"Excellent",I593&gt;=3,"Good",I593&gt;=2,"Average",I593&lt;2,"Poor")</f>
        <v>Excellent</v>
      </c>
      <c r="P593" t="str">
        <f t="shared" si="37"/>
        <v/>
      </c>
      <c r="Q593">
        <f t="shared" si="38"/>
        <v>434421</v>
      </c>
      <c r="R593">
        <v>2024</v>
      </c>
      <c r="X593" t="str">
        <f t="shared" ca="1" si="39"/>
        <v/>
      </c>
    </row>
    <row r="594" spans="1:24" x14ac:dyDescent="0.25">
      <c r="A594" t="s">
        <v>1209</v>
      </c>
      <c r="B594" t="s">
        <v>1210</v>
      </c>
      <c r="C594" t="s">
        <v>25</v>
      </c>
      <c r="D594" t="s">
        <v>62</v>
      </c>
      <c r="E594" s="1">
        <v>45276</v>
      </c>
      <c r="F594" t="s">
        <v>14</v>
      </c>
      <c r="G594">
        <v>9002</v>
      </c>
      <c r="H594">
        <v>9521</v>
      </c>
      <c r="I594">
        <v>3.31</v>
      </c>
      <c r="J594">
        <v>25</v>
      </c>
      <c r="M594">
        <f t="shared" ca="1" si="36"/>
        <v>573</v>
      </c>
      <c r="N594" s="3" t="str" cm="1">
        <f t="array" ref="N594">_xlfn.IFS(I594&gt;=3.5,"Excellent",I594&gt;=3,"Good",I594&gt;=2,"Average",I594&lt;2,"Poor")</f>
        <v>Good</v>
      </c>
      <c r="P594" t="str">
        <f t="shared" si="37"/>
        <v>True</v>
      </c>
      <c r="Q594">
        <f t="shared" si="38"/>
        <v>434421</v>
      </c>
      <c r="R594">
        <v>2023</v>
      </c>
      <c r="X594" t="str">
        <f t="shared" ca="1" si="39"/>
        <v/>
      </c>
    </row>
    <row r="595" spans="1:24" x14ac:dyDescent="0.25">
      <c r="A595" t="s">
        <v>1211</v>
      </c>
      <c r="B595" t="s">
        <v>1212</v>
      </c>
      <c r="C595" t="s">
        <v>36</v>
      </c>
      <c r="D595" t="s">
        <v>18</v>
      </c>
      <c r="E595" s="1">
        <v>45183</v>
      </c>
      <c r="F595" t="s">
        <v>39</v>
      </c>
      <c r="G595">
        <v>10702</v>
      </c>
      <c r="H595">
        <v>2826</v>
      </c>
      <c r="I595">
        <v>3.39</v>
      </c>
      <c r="J595">
        <v>6</v>
      </c>
      <c r="M595" t="str">
        <f t="shared" ca="1" si="36"/>
        <v/>
      </c>
      <c r="N595" s="3" t="str" cm="1">
        <f t="array" ref="N595">_xlfn.IFS(I595&gt;=3.5,"Excellent",I595&gt;=3,"Good",I595&gt;=2,"Average",I595&lt;2,"Poor")</f>
        <v>Good</v>
      </c>
      <c r="P595" t="str">
        <f t="shared" si="37"/>
        <v/>
      </c>
      <c r="Q595">
        <f t="shared" si="38"/>
        <v>434421</v>
      </c>
      <c r="R595">
        <v>2023</v>
      </c>
      <c r="X595" t="str">
        <f t="shared" ca="1" si="39"/>
        <v/>
      </c>
    </row>
    <row r="596" spans="1:24" x14ac:dyDescent="0.25">
      <c r="A596" t="s">
        <v>1213</v>
      </c>
      <c r="B596" t="s">
        <v>1214</v>
      </c>
      <c r="C596" t="s">
        <v>17</v>
      </c>
      <c r="D596" t="s">
        <v>62</v>
      </c>
      <c r="E596" s="1">
        <v>44822</v>
      </c>
      <c r="F596" t="s">
        <v>19</v>
      </c>
      <c r="G596">
        <v>13535</v>
      </c>
      <c r="H596">
        <v>8752</v>
      </c>
      <c r="I596">
        <v>3.17</v>
      </c>
      <c r="J596">
        <v>73</v>
      </c>
      <c r="M596" t="str">
        <f t="shared" ca="1" si="36"/>
        <v/>
      </c>
      <c r="N596" s="3" t="str" cm="1">
        <f t="array" ref="N596">_xlfn.IFS(I596&gt;=3.5,"Excellent",I596&gt;=3,"Good",I596&gt;=2,"Average",I596&lt;2,"Poor")</f>
        <v>Good</v>
      </c>
      <c r="P596" t="str">
        <f t="shared" si="37"/>
        <v>True</v>
      </c>
      <c r="Q596">
        <f t="shared" si="38"/>
        <v>434421</v>
      </c>
      <c r="R596">
        <v>2022</v>
      </c>
      <c r="X596">
        <f t="shared" ca="1" si="39"/>
        <v>1027</v>
      </c>
    </row>
    <row r="597" spans="1:24" x14ac:dyDescent="0.25">
      <c r="A597" t="s">
        <v>1215</v>
      </c>
      <c r="B597" t="s">
        <v>1216</v>
      </c>
      <c r="C597" t="s">
        <v>12</v>
      </c>
      <c r="D597" t="s">
        <v>18</v>
      </c>
      <c r="E597" s="1">
        <v>44740</v>
      </c>
      <c r="F597" t="s">
        <v>14</v>
      </c>
      <c r="G597">
        <v>11144</v>
      </c>
      <c r="H597">
        <v>6352</v>
      </c>
      <c r="I597">
        <v>2.89</v>
      </c>
      <c r="J597">
        <v>98</v>
      </c>
      <c r="M597">
        <f t="shared" ca="1" si="36"/>
        <v>1109</v>
      </c>
      <c r="N597" s="3" t="str" cm="1">
        <f t="array" ref="N597">_xlfn.IFS(I597&gt;=3.5,"Excellent",I597&gt;=3,"Good",I597&gt;=2,"Average",I597&lt;2,"Poor")</f>
        <v>Average</v>
      </c>
      <c r="P597" t="str">
        <f t="shared" si="37"/>
        <v>True</v>
      </c>
      <c r="Q597">
        <f t="shared" si="38"/>
        <v>434421</v>
      </c>
      <c r="R597">
        <v>2022</v>
      </c>
      <c r="X597" t="str">
        <f t="shared" ca="1" si="39"/>
        <v/>
      </c>
    </row>
    <row r="598" spans="1:24" x14ac:dyDescent="0.25">
      <c r="A598" t="s">
        <v>1217</v>
      </c>
      <c r="B598" t="s">
        <v>1218</v>
      </c>
      <c r="C598" t="s">
        <v>36</v>
      </c>
      <c r="D598" t="s">
        <v>18</v>
      </c>
      <c r="E598" s="1">
        <v>45019</v>
      </c>
      <c r="F598" t="s">
        <v>19</v>
      </c>
      <c r="G598">
        <v>9401</v>
      </c>
      <c r="H598">
        <v>5071</v>
      </c>
      <c r="I598">
        <v>2.8</v>
      </c>
      <c r="J598">
        <v>78</v>
      </c>
      <c r="M598" t="str">
        <f t="shared" ca="1" si="36"/>
        <v/>
      </c>
      <c r="N598" s="3" t="str" cm="1">
        <f t="array" ref="N598">_xlfn.IFS(I598&gt;=3.5,"Excellent",I598&gt;=3,"Good",I598&gt;=2,"Average",I598&lt;2,"Poor")</f>
        <v>Average</v>
      </c>
      <c r="P598" t="str">
        <f t="shared" si="37"/>
        <v>True</v>
      </c>
      <c r="Q598">
        <f t="shared" si="38"/>
        <v>434421</v>
      </c>
      <c r="R598">
        <v>2023</v>
      </c>
      <c r="X598">
        <f t="shared" ca="1" si="39"/>
        <v>830</v>
      </c>
    </row>
    <row r="599" spans="1:24" x14ac:dyDescent="0.25">
      <c r="A599" t="s">
        <v>1219</v>
      </c>
      <c r="B599" t="s">
        <v>1220</v>
      </c>
      <c r="C599" t="s">
        <v>36</v>
      </c>
      <c r="D599" t="s">
        <v>62</v>
      </c>
      <c r="E599" s="1">
        <v>45227</v>
      </c>
      <c r="F599" t="s">
        <v>39</v>
      </c>
      <c r="G599">
        <v>6027</v>
      </c>
      <c r="H599">
        <v>8515</v>
      </c>
      <c r="I599">
        <v>2.76</v>
      </c>
      <c r="J599">
        <v>50</v>
      </c>
      <c r="M599" t="str">
        <f t="shared" ca="1" si="36"/>
        <v/>
      </c>
      <c r="N599" s="3" t="str" cm="1">
        <f t="array" ref="N599">_xlfn.IFS(I599&gt;=3.5,"Excellent",I599&gt;=3,"Good",I599&gt;=2,"Average",I599&lt;2,"Poor")</f>
        <v>Average</v>
      </c>
      <c r="P599" t="str">
        <f t="shared" si="37"/>
        <v>True</v>
      </c>
      <c r="Q599">
        <f t="shared" si="38"/>
        <v>425020</v>
      </c>
      <c r="R599">
        <v>2023</v>
      </c>
      <c r="X599" t="str">
        <f t="shared" ca="1" si="39"/>
        <v/>
      </c>
    </row>
    <row r="600" spans="1:24" x14ac:dyDescent="0.25">
      <c r="A600" t="s">
        <v>1221</v>
      </c>
      <c r="B600" t="s">
        <v>1222</v>
      </c>
      <c r="C600" t="s">
        <v>36</v>
      </c>
      <c r="D600" t="s">
        <v>18</v>
      </c>
      <c r="E600" s="1">
        <v>44734</v>
      </c>
      <c r="F600" t="s">
        <v>39</v>
      </c>
      <c r="G600">
        <v>14933</v>
      </c>
      <c r="H600">
        <v>5194</v>
      </c>
      <c r="I600">
        <v>3.8</v>
      </c>
      <c r="J600">
        <v>71</v>
      </c>
      <c r="M600" t="str">
        <f t="shared" ca="1" si="36"/>
        <v/>
      </c>
      <c r="N600" s="3" t="str" cm="1">
        <f t="array" ref="N600">_xlfn.IFS(I600&gt;=3.5,"Excellent",I600&gt;=3,"Good",I600&gt;=2,"Average",I600&lt;2,"Poor")</f>
        <v>Excellent</v>
      </c>
      <c r="P600" t="str">
        <f t="shared" si="37"/>
        <v/>
      </c>
      <c r="Q600">
        <f t="shared" si="38"/>
        <v>425020</v>
      </c>
      <c r="R600">
        <v>2022</v>
      </c>
      <c r="X600" t="str">
        <f t="shared" ca="1" si="39"/>
        <v/>
      </c>
    </row>
    <row r="601" spans="1:24" x14ac:dyDescent="0.25">
      <c r="A601" t="s">
        <v>1223</v>
      </c>
      <c r="B601" t="s">
        <v>1224</v>
      </c>
      <c r="C601" t="s">
        <v>36</v>
      </c>
      <c r="D601" t="s">
        <v>13</v>
      </c>
      <c r="E601" s="1">
        <v>44848</v>
      </c>
      <c r="F601" t="s">
        <v>14</v>
      </c>
      <c r="G601">
        <v>4556</v>
      </c>
      <c r="H601">
        <v>2074</v>
      </c>
      <c r="I601">
        <v>3.47</v>
      </c>
      <c r="J601">
        <v>13</v>
      </c>
      <c r="M601">
        <f t="shared" ca="1" si="36"/>
        <v>1001</v>
      </c>
      <c r="N601" s="3" t="str" cm="1">
        <f t="array" ref="N601">_xlfn.IFS(I601&gt;=3.5,"Excellent",I601&gt;=3,"Good",I601&gt;=2,"Average",I601&lt;2,"Poor")</f>
        <v>Good</v>
      </c>
      <c r="P601" t="str">
        <f t="shared" si="37"/>
        <v/>
      </c>
      <c r="Q601">
        <f t="shared" si="38"/>
        <v>425020</v>
      </c>
      <c r="R601">
        <v>2022</v>
      </c>
      <c r="X601" t="str">
        <f t="shared" ca="1" si="39"/>
        <v/>
      </c>
    </row>
    <row r="602" spans="1:24" x14ac:dyDescent="0.25">
      <c r="A602" t="s">
        <v>1225</v>
      </c>
      <c r="B602" t="s">
        <v>1226</v>
      </c>
      <c r="C602" t="s">
        <v>36</v>
      </c>
      <c r="D602" t="s">
        <v>62</v>
      </c>
      <c r="E602" s="1">
        <v>45261</v>
      </c>
      <c r="F602" t="s">
        <v>14</v>
      </c>
      <c r="G602">
        <v>6572</v>
      </c>
      <c r="H602">
        <v>7509</v>
      </c>
      <c r="I602">
        <v>3.43</v>
      </c>
      <c r="J602">
        <v>9</v>
      </c>
      <c r="M602">
        <f t="shared" ca="1" si="36"/>
        <v>588</v>
      </c>
      <c r="N602" s="3" t="str" cm="1">
        <f t="array" ref="N602">_xlfn.IFS(I602&gt;=3.5,"Excellent",I602&gt;=3,"Good",I602&gt;=2,"Average",I602&lt;2,"Poor")</f>
        <v>Good</v>
      </c>
      <c r="P602" t="str">
        <f t="shared" si="37"/>
        <v>True</v>
      </c>
      <c r="Q602">
        <f t="shared" si="38"/>
        <v>425020</v>
      </c>
      <c r="R602">
        <v>2023</v>
      </c>
      <c r="X602" t="str">
        <f t="shared" ca="1" si="39"/>
        <v/>
      </c>
    </row>
    <row r="603" spans="1:24" x14ac:dyDescent="0.25">
      <c r="A603" t="s">
        <v>1227</v>
      </c>
      <c r="B603" t="s">
        <v>1228</v>
      </c>
      <c r="C603" t="s">
        <v>12</v>
      </c>
      <c r="D603" t="s">
        <v>62</v>
      </c>
      <c r="E603" s="1">
        <v>45184</v>
      </c>
      <c r="F603" t="s">
        <v>14</v>
      </c>
      <c r="G603">
        <v>2372</v>
      </c>
      <c r="H603">
        <v>4974</v>
      </c>
      <c r="I603">
        <v>2.8</v>
      </c>
      <c r="J603">
        <v>51</v>
      </c>
      <c r="M603">
        <f t="shared" ca="1" si="36"/>
        <v>665</v>
      </c>
      <c r="N603" s="3" t="str" cm="1">
        <f t="array" ref="N603">_xlfn.IFS(I603&gt;=3.5,"Excellent",I603&gt;=3,"Good",I603&gt;=2,"Average",I603&lt;2,"Poor")</f>
        <v>Average</v>
      </c>
      <c r="P603" t="str">
        <f t="shared" si="37"/>
        <v>True</v>
      </c>
      <c r="Q603">
        <f t="shared" si="38"/>
        <v>425020</v>
      </c>
      <c r="R603">
        <v>2023</v>
      </c>
      <c r="X603" t="str">
        <f t="shared" ca="1" si="39"/>
        <v/>
      </c>
    </row>
    <row r="604" spans="1:24" x14ac:dyDescent="0.25">
      <c r="A604" t="s">
        <v>1229</v>
      </c>
      <c r="B604" t="s">
        <v>1230</v>
      </c>
      <c r="C604" t="s">
        <v>36</v>
      </c>
      <c r="D604" t="s">
        <v>31</v>
      </c>
      <c r="E604" s="1">
        <v>45125</v>
      </c>
      <c r="F604" t="s">
        <v>14</v>
      </c>
      <c r="G604">
        <v>10692</v>
      </c>
      <c r="H604">
        <v>6679</v>
      </c>
      <c r="I604">
        <v>3.85</v>
      </c>
      <c r="J604">
        <v>90</v>
      </c>
      <c r="M604">
        <f t="shared" ca="1" si="36"/>
        <v>724</v>
      </c>
      <c r="N604" s="3" t="str" cm="1">
        <f t="array" ref="N604">_xlfn.IFS(I604&gt;=3.5,"Excellent",I604&gt;=3,"Good",I604&gt;=2,"Average",I604&lt;2,"Poor")</f>
        <v>Excellent</v>
      </c>
      <c r="P604" t="str">
        <f t="shared" si="37"/>
        <v>True</v>
      </c>
      <c r="Q604">
        <f t="shared" si="38"/>
        <v>425020</v>
      </c>
      <c r="R604">
        <v>2023</v>
      </c>
      <c r="X604" t="str">
        <f t="shared" ca="1" si="39"/>
        <v/>
      </c>
    </row>
    <row r="605" spans="1:24" x14ac:dyDescent="0.25">
      <c r="A605" t="s">
        <v>1231</v>
      </c>
      <c r="B605" t="s">
        <v>1232</v>
      </c>
      <c r="C605" t="s">
        <v>54</v>
      </c>
      <c r="D605" t="s">
        <v>31</v>
      </c>
      <c r="E605" s="1">
        <v>45432</v>
      </c>
      <c r="F605" t="s">
        <v>14</v>
      </c>
      <c r="G605">
        <v>13268</v>
      </c>
      <c r="H605">
        <v>1099</v>
      </c>
      <c r="I605">
        <v>3.63</v>
      </c>
      <c r="J605">
        <v>105</v>
      </c>
      <c r="M605">
        <f t="shared" ca="1" si="36"/>
        <v>417</v>
      </c>
      <c r="N605" s="3" t="str" cm="1">
        <f t="array" ref="N605">_xlfn.IFS(I605&gt;=3.5,"Excellent",I605&gt;=3,"Good",I605&gt;=2,"Average",I605&lt;2,"Poor")</f>
        <v>Excellent</v>
      </c>
      <c r="P605" t="str">
        <f t="shared" si="37"/>
        <v/>
      </c>
      <c r="Q605">
        <f t="shared" si="38"/>
        <v>425020</v>
      </c>
      <c r="R605">
        <v>2024</v>
      </c>
      <c r="X605" t="str">
        <f t="shared" ca="1" si="39"/>
        <v/>
      </c>
    </row>
    <row r="606" spans="1:24" x14ac:dyDescent="0.25">
      <c r="A606" t="s">
        <v>1233</v>
      </c>
      <c r="B606" t="s">
        <v>1234</v>
      </c>
      <c r="C606" t="s">
        <v>36</v>
      </c>
      <c r="D606" t="s">
        <v>18</v>
      </c>
      <c r="E606" s="1">
        <v>45270</v>
      </c>
      <c r="F606" t="s">
        <v>19</v>
      </c>
      <c r="G606">
        <v>13205</v>
      </c>
      <c r="H606">
        <v>4398</v>
      </c>
      <c r="I606">
        <v>3.87</v>
      </c>
      <c r="J606">
        <v>55</v>
      </c>
      <c r="M606" t="str">
        <f t="shared" ca="1" si="36"/>
        <v/>
      </c>
      <c r="N606" s="3" t="str" cm="1">
        <f t="array" ref="N606">_xlfn.IFS(I606&gt;=3.5,"Excellent",I606&gt;=3,"Good",I606&gt;=2,"Average",I606&lt;2,"Poor")</f>
        <v>Excellent</v>
      </c>
      <c r="P606" t="str">
        <f t="shared" si="37"/>
        <v/>
      </c>
      <c r="Q606">
        <f t="shared" si="38"/>
        <v>425020</v>
      </c>
      <c r="R606">
        <v>2023</v>
      </c>
      <c r="X606">
        <f t="shared" ca="1" si="39"/>
        <v>579</v>
      </c>
    </row>
    <row r="607" spans="1:24" x14ac:dyDescent="0.25">
      <c r="A607" t="s">
        <v>1235</v>
      </c>
      <c r="B607" t="s">
        <v>1236</v>
      </c>
      <c r="C607" t="s">
        <v>57</v>
      </c>
      <c r="D607" t="s">
        <v>13</v>
      </c>
      <c r="E607" s="1">
        <v>44905</v>
      </c>
      <c r="F607" t="s">
        <v>19</v>
      </c>
      <c r="G607">
        <v>14226</v>
      </c>
      <c r="H607">
        <v>7209</v>
      </c>
      <c r="I607">
        <v>2.8</v>
      </c>
      <c r="J607">
        <v>77</v>
      </c>
      <c r="M607" t="str">
        <f t="shared" ca="1" si="36"/>
        <v/>
      </c>
      <c r="N607" s="3" t="str" cm="1">
        <f t="array" ref="N607">_xlfn.IFS(I607&gt;=3.5,"Excellent",I607&gt;=3,"Good",I607&gt;=2,"Average",I607&lt;2,"Poor")</f>
        <v>Average</v>
      </c>
      <c r="P607" t="str">
        <f t="shared" si="37"/>
        <v>True</v>
      </c>
      <c r="Q607">
        <f t="shared" si="38"/>
        <v>411815</v>
      </c>
      <c r="R607">
        <v>2022</v>
      </c>
      <c r="X607">
        <f t="shared" ca="1" si="39"/>
        <v>944</v>
      </c>
    </row>
    <row r="608" spans="1:24" x14ac:dyDescent="0.25">
      <c r="A608" t="s">
        <v>1237</v>
      </c>
      <c r="B608" t="s">
        <v>1238</v>
      </c>
      <c r="C608" t="s">
        <v>22</v>
      </c>
      <c r="D608" t="s">
        <v>18</v>
      </c>
      <c r="E608" s="1">
        <v>44993</v>
      </c>
      <c r="F608" t="s">
        <v>14</v>
      </c>
      <c r="G608">
        <v>8513</v>
      </c>
      <c r="H608">
        <v>1900</v>
      </c>
      <c r="I608">
        <v>2.38</v>
      </c>
      <c r="J608">
        <v>32</v>
      </c>
      <c r="M608">
        <f t="shared" ca="1" si="36"/>
        <v>856</v>
      </c>
      <c r="N608" s="3" t="str" cm="1">
        <f t="array" ref="N608">_xlfn.IFS(I608&gt;=3.5,"Excellent",I608&gt;=3,"Good",I608&gt;=2,"Average",I608&lt;2,"Poor")</f>
        <v>Average</v>
      </c>
      <c r="P608" t="str">
        <f t="shared" si="37"/>
        <v/>
      </c>
      <c r="Q608">
        <f t="shared" si="38"/>
        <v>411815</v>
      </c>
      <c r="R608">
        <v>2023</v>
      </c>
      <c r="X608" t="str">
        <f t="shared" ca="1" si="39"/>
        <v/>
      </c>
    </row>
    <row r="609" spans="1:24" x14ac:dyDescent="0.25">
      <c r="A609" t="s">
        <v>1239</v>
      </c>
      <c r="B609" t="s">
        <v>1240</v>
      </c>
      <c r="C609" t="s">
        <v>54</v>
      </c>
      <c r="D609" t="s">
        <v>13</v>
      </c>
      <c r="E609" s="1">
        <v>45013</v>
      </c>
      <c r="F609" t="s">
        <v>14</v>
      </c>
      <c r="G609">
        <v>11839</v>
      </c>
      <c r="H609">
        <v>2074</v>
      </c>
      <c r="I609">
        <v>2.94</v>
      </c>
      <c r="J609">
        <v>9</v>
      </c>
      <c r="M609">
        <f t="shared" ca="1" si="36"/>
        <v>836</v>
      </c>
      <c r="N609" s="3" t="str" cm="1">
        <f t="array" ref="N609">_xlfn.IFS(I609&gt;=3.5,"Excellent",I609&gt;=3,"Good",I609&gt;=2,"Average",I609&lt;2,"Poor")</f>
        <v>Average</v>
      </c>
      <c r="P609" t="str">
        <f t="shared" si="37"/>
        <v/>
      </c>
      <c r="Q609">
        <f t="shared" si="38"/>
        <v>411815</v>
      </c>
      <c r="R609">
        <v>2023</v>
      </c>
      <c r="X609" t="str">
        <f t="shared" ca="1" si="39"/>
        <v/>
      </c>
    </row>
    <row r="610" spans="1:24" x14ac:dyDescent="0.25">
      <c r="A610" t="s">
        <v>1241</v>
      </c>
      <c r="B610" t="s">
        <v>1242</v>
      </c>
      <c r="C610" t="s">
        <v>22</v>
      </c>
      <c r="D610" t="s">
        <v>62</v>
      </c>
      <c r="E610" s="1">
        <v>45105</v>
      </c>
      <c r="F610" t="s">
        <v>14</v>
      </c>
      <c r="G610">
        <v>11789</v>
      </c>
      <c r="H610">
        <v>2842</v>
      </c>
      <c r="I610">
        <v>2.0499999999999998</v>
      </c>
      <c r="J610">
        <v>103</v>
      </c>
      <c r="M610">
        <f t="shared" ca="1" si="36"/>
        <v>744</v>
      </c>
      <c r="N610" s="3" t="str" cm="1">
        <f t="array" ref="N610">_xlfn.IFS(I610&gt;=3.5,"Excellent",I610&gt;=3,"Good",I610&gt;=2,"Average",I610&lt;2,"Poor")</f>
        <v>Average</v>
      </c>
      <c r="P610" t="str">
        <f t="shared" si="37"/>
        <v/>
      </c>
      <c r="Q610">
        <f t="shared" si="38"/>
        <v>411815</v>
      </c>
      <c r="R610">
        <v>2023</v>
      </c>
      <c r="X610" t="str">
        <f t="shared" ca="1" si="39"/>
        <v/>
      </c>
    </row>
    <row r="611" spans="1:24" x14ac:dyDescent="0.25">
      <c r="A611" t="s">
        <v>1243</v>
      </c>
      <c r="B611" t="s">
        <v>1244</v>
      </c>
      <c r="C611" t="s">
        <v>54</v>
      </c>
      <c r="D611" t="s">
        <v>18</v>
      </c>
      <c r="E611" s="1">
        <v>45435</v>
      </c>
      <c r="F611" t="s">
        <v>14</v>
      </c>
      <c r="G611">
        <v>8777</v>
      </c>
      <c r="H611">
        <v>5534</v>
      </c>
      <c r="I611">
        <v>3.92</v>
      </c>
      <c r="J611">
        <v>44</v>
      </c>
      <c r="M611">
        <f t="shared" ca="1" si="36"/>
        <v>414</v>
      </c>
      <c r="N611" s="3" t="str" cm="1">
        <f t="array" ref="N611">_xlfn.IFS(I611&gt;=3.5,"Excellent",I611&gt;=3,"Good",I611&gt;=2,"Average",I611&lt;2,"Poor")</f>
        <v>Excellent</v>
      </c>
      <c r="P611" t="str">
        <f t="shared" si="37"/>
        <v>True</v>
      </c>
      <c r="Q611">
        <f t="shared" si="38"/>
        <v>411815</v>
      </c>
      <c r="R611">
        <v>2024</v>
      </c>
      <c r="X611" t="str">
        <f t="shared" ca="1" si="39"/>
        <v/>
      </c>
    </row>
    <row r="612" spans="1:24" x14ac:dyDescent="0.25">
      <c r="A612" t="s">
        <v>1245</v>
      </c>
      <c r="B612" t="s">
        <v>1246</v>
      </c>
      <c r="C612" t="s">
        <v>54</v>
      </c>
      <c r="D612" t="s">
        <v>62</v>
      </c>
      <c r="E612" s="1">
        <v>45024</v>
      </c>
      <c r="F612" t="s">
        <v>39</v>
      </c>
      <c r="G612">
        <v>14001</v>
      </c>
      <c r="H612">
        <v>1920</v>
      </c>
      <c r="I612">
        <v>2.66</v>
      </c>
      <c r="J612">
        <v>83</v>
      </c>
      <c r="M612" t="str">
        <f t="shared" ca="1" si="36"/>
        <v/>
      </c>
      <c r="N612" s="3" t="str" cm="1">
        <f t="array" ref="N612">_xlfn.IFS(I612&gt;=3.5,"Excellent",I612&gt;=3,"Good",I612&gt;=2,"Average",I612&lt;2,"Poor")</f>
        <v>Average</v>
      </c>
      <c r="P612" t="str">
        <f t="shared" si="37"/>
        <v/>
      </c>
      <c r="Q612">
        <f t="shared" si="38"/>
        <v>411815</v>
      </c>
      <c r="R612">
        <v>2023</v>
      </c>
      <c r="X612" t="str">
        <f t="shared" ca="1" si="39"/>
        <v/>
      </c>
    </row>
    <row r="613" spans="1:24" x14ac:dyDescent="0.25">
      <c r="A613" t="s">
        <v>1247</v>
      </c>
      <c r="B613" t="s">
        <v>1248</v>
      </c>
      <c r="C613" t="s">
        <v>36</v>
      </c>
      <c r="D613" t="s">
        <v>13</v>
      </c>
      <c r="E613" s="1">
        <v>44895</v>
      </c>
      <c r="F613" t="s">
        <v>39</v>
      </c>
      <c r="G613">
        <v>10096</v>
      </c>
      <c r="H613">
        <v>7573</v>
      </c>
      <c r="I613">
        <v>2.58</v>
      </c>
      <c r="J613">
        <v>99</v>
      </c>
      <c r="M613" t="str">
        <f t="shared" ca="1" si="36"/>
        <v/>
      </c>
      <c r="N613" s="3" t="str" cm="1">
        <f t="array" ref="N613">_xlfn.IFS(I613&gt;=3.5,"Excellent",I613&gt;=3,"Good",I613&gt;=2,"Average",I613&lt;2,"Poor")</f>
        <v>Average</v>
      </c>
      <c r="P613" t="str">
        <f t="shared" si="37"/>
        <v>True</v>
      </c>
      <c r="Q613">
        <f t="shared" si="38"/>
        <v>411815</v>
      </c>
      <c r="R613">
        <v>2022</v>
      </c>
      <c r="X613" t="str">
        <f t="shared" ca="1" si="39"/>
        <v/>
      </c>
    </row>
    <row r="614" spans="1:24" x14ac:dyDescent="0.25">
      <c r="A614" t="s">
        <v>1249</v>
      </c>
      <c r="B614" t="s">
        <v>1250</v>
      </c>
      <c r="C614" t="s">
        <v>22</v>
      </c>
      <c r="D614" t="s">
        <v>13</v>
      </c>
      <c r="E614" s="1">
        <v>45237</v>
      </c>
      <c r="F614" t="s">
        <v>14</v>
      </c>
      <c r="G614">
        <v>12350</v>
      </c>
      <c r="H614">
        <v>9222</v>
      </c>
      <c r="I614">
        <v>2.86</v>
      </c>
      <c r="J614">
        <v>31</v>
      </c>
      <c r="M614">
        <f t="shared" ca="1" si="36"/>
        <v>612</v>
      </c>
      <c r="N614" s="3" t="str" cm="1">
        <f t="array" ref="N614">_xlfn.IFS(I614&gt;=3.5,"Excellent",I614&gt;=3,"Good",I614&gt;=2,"Average",I614&lt;2,"Poor")</f>
        <v>Average</v>
      </c>
      <c r="P614" t="str">
        <f t="shared" si="37"/>
        <v>True</v>
      </c>
      <c r="Q614">
        <f t="shared" si="38"/>
        <v>411815</v>
      </c>
      <c r="R614">
        <v>2023</v>
      </c>
      <c r="X614" t="str">
        <f t="shared" ca="1" si="39"/>
        <v/>
      </c>
    </row>
    <row r="615" spans="1:24" x14ac:dyDescent="0.25">
      <c r="A615" t="s">
        <v>1251</v>
      </c>
      <c r="B615" t="s">
        <v>1252</v>
      </c>
      <c r="C615" t="s">
        <v>54</v>
      </c>
      <c r="D615" t="s">
        <v>18</v>
      </c>
      <c r="E615" s="1">
        <v>45362</v>
      </c>
      <c r="F615" t="s">
        <v>14</v>
      </c>
      <c r="G615">
        <v>7322</v>
      </c>
      <c r="H615">
        <v>1136</v>
      </c>
      <c r="I615">
        <v>2.16</v>
      </c>
      <c r="J615">
        <v>38</v>
      </c>
      <c r="M615">
        <f t="shared" ca="1" si="36"/>
        <v>487</v>
      </c>
      <c r="N615" s="3" t="str" cm="1">
        <f t="array" ref="N615">_xlfn.IFS(I615&gt;=3.5,"Excellent",I615&gt;=3,"Good",I615&gt;=2,"Average",I615&lt;2,"Poor")</f>
        <v>Average</v>
      </c>
      <c r="P615" t="str">
        <f t="shared" si="37"/>
        <v/>
      </c>
      <c r="Q615">
        <f t="shared" si="38"/>
        <v>411815</v>
      </c>
      <c r="R615">
        <v>2024</v>
      </c>
      <c r="X615" t="str">
        <f t="shared" ca="1" si="39"/>
        <v/>
      </c>
    </row>
    <row r="616" spans="1:24" x14ac:dyDescent="0.25">
      <c r="A616" t="s">
        <v>1253</v>
      </c>
      <c r="B616" t="s">
        <v>1254</v>
      </c>
      <c r="C616" t="s">
        <v>28</v>
      </c>
      <c r="D616" t="s">
        <v>31</v>
      </c>
      <c r="E616" s="1">
        <v>45394</v>
      </c>
      <c r="F616" t="s">
        <v>14</v>
      </c>
      <c r="G616">
        <v>5312</v>
      </c>
      <c r="H616">
        <v>8824</v>
      </c>
      <c r="I616">
        <v>2.78</v>
      </c>
      <c r="J616">
        <v>25</v>
      </c>
      <c r="M616">
        <f t="shared" ca="1" si="36"/>
        <v>455</v>
      </c>
      <c r="N616" s="3" t="str" cm="1">
        <f t="array" ref="N616">_xlfn.IFS(I616&gt;=3.5,"Excellent",I616&gt;=3,"Good",I616&gt;=2,"Average",I616&lt;2,"Poor")</f>
        <v>Average</v>
      </c>
      <c r="P616" t="str">
        <f t="shared" si="37"/>
        <v>True</v>
      </c>
      <c r="Q616">
        <f t="shared" si="38"/>
        <v>411815</v>
      </c>
      <c r="R616">
        <v>2024</v>
      </c>
      <c r="X616" t="str">
        <f t="shared" ca="1" si="39"/>
        <v/>
      </c>
    </row>
    <row r="617" spans="1:24" x14ac:dyDescent="0.25">
      <c r="A617" t="s">
        <v>1255</v>
      </c>
      <c r="B617" t="s">
        <v>1256</v>
      </c>
      <c r="C617" t="s">
        <v>22</v>
      </c>
      <c r="D617" t="s">
        <v>62</v>
      </c>
      <c r="E617" s="1">
        <v>45293</v>
      </c>
      <c r="F617" t="s">
        <v>14</v>
      </c>
      <c r="G617">
        <v>6373</v>
      </c>
      <c r="H617">
        <v>5830</v>
      </c>
      <c r="I617">
        <v>3.33</v>
      </c>
      <c r="J617">
        <v>54</v>
      </c>
      <c r="M617">
        <f t="shared" ca="1" si="36"/>
        <v>556</v>
      </c>
      <c r="N617" s="3" t="str" cm="1">
        <f t="array" ref="N617">_xlfn.IFS(I617&gt;=3.5,"Excellent",I617&gt;=3,"Good",I617&gt;=2,"Average",I617&lt;2,"Poor")</f>
        <v>Good</v>
      </c>
      <c r="P617" t="str">
        <f t="shared" si="37"/>
        <v>True</v>
      </c>
      <c r="Q617">
        <f t="shared" si="38"/>
        <v>411815</v>
      </c>
      <c r="R617">
        <v>2024</v>
      </c>
      <c r="X617" t="str">
        <f t="shared" ca="1" si="39"/>
        <v/>
      </c>
    </row>
    <row r="618" spans="1:24" x14ac:dyDescent="0.25">
      <c r="A618" t="s">
        <v>1257</v>
      </c>
      <c r="B618" t="s">
        <v>1258</v>
      </c>
      <c r="C618" t="s">
        <v>57</v>
      </c>
      <c r="D618" t="s">
        <v>31</v>
      </c>
      <c r="E618" s="1">
        <v>45184</v>
      </c>
      <c r="F618" t="s">
        <v>14</v>
      </c>
      <c r="G618">
        <v>4233</v>
      </c>
      <c r="H618">
        <v>3690</v>
      </c>
      <c r="I618">
        <v>2.95</v>
      </c>
      <c r="J618">
        <v>25</v>
      </c>
      <c r="M618">
        <f t="shared" ca="1" si="36"/>
        <v>665</v>
      </c>
      <c r="N618" s="3" t="str" cm="1">
        <f t="array" ref="N618">_xlfn.IFS(I618&gt;=3.5,"Excellent",I618&gt;=3,"Good",I618&gt;=2,"Average",I618&lt;2,"Poor")</f>
        <v>Average</v>
      </c>
      <c r="P618" t="str">
        <f t="shared" si="37"/>
        <v>True</v>
      </c>
      <c r="Q618">
        <f t="shared" si="38"/>
        <v>411815</v>
      </c>
      <c r="R618">
        <v>2023</v>
      </c>
      <c r="X618" t="str">
        <f t="shared" ca="1" si="39"/>
        <v/>
      </c>
    </row>
    <row r="619" spans="1:24" x14ac:dyDescent="0.25">
      <c r="A619" t="s">
        <v>1259</v>
      </c>
      <c r="B619" t="s">
        <v>1260</v>
      </c>
      <c r="C619" t="s">
        <v>12</v>
      </c>
      <c r="D619" t="s">
        <v>62</v>
      </c>
      <c r="E619" s="1">
        <v>45072</v>
      </c>
      <c r="F619" t="s">
        <v>19</v>
      </c>
      <c r="G619">
        <v>13229</v>
      </c>
      <c r="H619">
        <v>4756</v>
      </c>
      <c r="I619">
        <v>3.6</v>
      </c>
      <c r="J619">
        <v>93</v>
      </c>
      <c r="M619" t="str">
        <f t="shared" ca="1" si="36"/>
        <v/>
      </c>
      <c r="N619" s="3" t="str" cm="1">
        <f t="array" ref="N619">_xlfn.IFS(I619&gt;=3.5,"Excellent",I619&gt;=3,"Good",I619&gt;=2,"Average",I619&lt;2,"Poor")</f>
        <v>Excellent</v>
      </c>
      <c r="P619" t="str">
        <f t="shared" si="37"/>
        <v/>
      </c>
      <c r="Q619">
        <f t="shared" si="38"/>
        <v>411815</v>
      </c>
      <c r="R619">
        <v>2023</v>
      </c>
      <c r="X619">
        <f t="shared" ca="1" si="39"/>
        <v>777</v>
      </c>
    </row>
    <row r="620" spans="1:24" x14ac:dyDescent="0.25">
      <c r="A620" t="s">
        <v>1261</v>
      </c>
      <c r="B620" t="s">
        <v>1262</v>
      </c>
      <c r="C620" t="s">
        <v>57</v>
      </c>
      <c r="D620" t="s">
        <v>18</v>
      </c>
      <c r="E620" s="1">
        <v>45345</v>
      </c>
      <c r="F620" t="s">
        <v>14</v>
      </c>
      <c r="G620">
        <v>3758</v>
      </c>
      <c r="H620">
        <v>7268</v>
      </c>
      <c r="I620">
        <v>2.16</v>
      </c>
      <c r="J620">
        <v>57</v>
      </c>
      <c r="M620">
        <f t="shared" ca="1" si="36"/>
        <v>504</v>
      </c>
      <c r="N620" s="3" t="str" cm="1">
        <f t="array" ref="N620">_xlfn.IFS(I620&gt;=3.5,"Excellent",I620&gt;=3,"Good",I620&gt;=2,"Average",I620&lt;2,"Poor")</f>
        <v>Average</v>
      </c>
      <c r="P620" t="str">
        <f t="shared" si="37"/>
        <v>True</v>
      </c>
      <c r="Q620">
        <f t="shared" si="38"/>
        <v>411815</v>
      </c>
      <c r="R620">
        <v>2024</v>
      </c>
      <c r="X620" t="str">
        <f t="shared" ca="1" si="39"/>
        <v/>
      </c>
    </row>
    <row r="621" spans="1:24" x14ac:dyDescent="0.25">
      <c r="A621" t="s">
        <v>1263</v>
      </c>
      <c r="B621" t="s">
        <v>1264</v>
      </c>
      <c r="C621" t="s">
        <v>22</v>
      </c>
      <c r="D621" t="s">
        <v>13</v>
      </c>
      <c r="E621" s="1">
        <v>44669</v>
      </c>
      <c r="F621" t="s">
        <v>19</v>
      </c>
      <c r="G621">
        <v>12721</v>
      </c>
      <c r="H621">
        <v>2480</v>
      </c>
      <c r="I621">
        <v>3.64</v>
      </c>
      <c r="J621">
        <v>7</v>
      </c>
      <c r="M621" t="str">
        <f t="shared" ca="1" si="36"/>
        <v/>
      </c>
      <c r="N621" s="3" t="str" cm="1">
        <f t="array" ref="N621">_xlfn.IFS(I621&gt;=3.5,"Excellent",I621&gt;=3,"Good",I621&gt;=2,"Average",I621&lt;2,"Poor")</f>
        <v>Excellent</v>
      </c>
      <c r="P621" t="str">
        <f t="shared" si="37"/>
        <v/>
      </c>
      <c r="Q621">
        <f t="shared" si="38"/>
        <v>411815</v>
      </c>
      <c r="R621">
        <v>2022</v>
      </c>
      <c r="X621">
        <f t="shared" ca="1" si="39"/>
        <v>1180</v>
      </c>
    </row>
    <row r="622" spans="1:24" x14ac:dyDescent="0.25">
      <c r="A622" t="s">
        <v>1265</v>
      </c>
      <c r="B622" t="s">
        <v>1266</v>
      </c>
      <c r="C622" t="s">
        <v>57</v>
      </c>
      <c r="D622" t="s">
        <v>18</v>
      </c>
      <c r="E622" s="1">
        <v>45122</v>
      </c>
      <c r="F622" t="s">
        <v>14</v>
      </c>
      <c r="G622">
        <v>4337</v>
      </c>
      <c r="H622">
        <v>3817</v>
      </c>
      <c r="I622">
        <v>3.46</v>
      </c>
      <c r="J622">
        <v>45</v>
      </c>
      <c r="M622">
        <f t="shared" ca="1" si="36"/>
        <v>727</v>
      </c>
      <c r="N622" s="3" t="str" cm="1">
        <f t="array" ref="N622">_xlfn.IFS(I622&gt;=3.5,"Excellent",I622&gt;=3,"Good",I622&gt;=2,"Average",I622&lt;2,"Poor")</f>
        <v>Good</v>
      </c>
      <c r="P622" t="str">
        <f t="shared" si="37"/>
        <v>True</v>
      </c>
      <c r="Q622">
        <f t="shared" si="38"/>
        <v>411815</v>
      </c>
      <c r="R622">
        <v>2023</v>
      </c>
      <c r="X622" t="str">
        <f t="shared" ca="1" si="39"/>
        <v/>
      </c>
    </row>
    <row r="623" spans="1:24" x14ac:dyDescent="0.25">
      <c r="A623" t="s">
        <v>1267</v>
      </c>
      <c r="B623" t="s">
        <v>1268</v>
      </c>
      <c r="C623" t="s">
        <v>25</v>
      </c>
      <c r="D623" t="s">
        <v>13</v>
      </c>
      <c r="E623" s="1">
        <v>45006</v>
      </c>
      <c r="F623" t="s">
        <v>14</v>
      </c>
      <c r="G623">
        <v>10462</v>
      </c>
      <c r="H623">
        <v>5148</v>
      </c>
      <c r="I623">
        <v>3.84</v>
      </c>
      <c r="J623">
        <v>100</v>
      </c>
      <c r="M623">
        <f t="shared" ca="1" si="36"/>
        <v>843</v>
      </c>
      <c r="N623" s="3" t="str" cm="1">
        <f t="array" ref="N623">_xlfn.IFS(I623&gt;=3.5,"Excellent",I623&gt;=3,"Good",I623&gt;=2,"Average",I623&lt;2,"Poor")</f>
        <v>Excellent</v>
      </c>
      <c r="P623" t="str">
        <f t="shared" si="37"/>
        <v/>
      </c>
      <c r="Q623">
        <f t="shared" si="38"/>
        <v>411815</v>
      </c>
      <c r="R623">
        <v>2023</v>
      </c>
      <c r="X623" t="str">
        <f t="shared" ca="1" si="39"/>
        <v/>
      </c>
    </row>
    <row r="624" spans="1:24" x14ac:dyDescent="0.25">
      <c r="A624" t="s">
        <v>1269</v>
      </c>
      <c r="B624" t="s">
        <v>1270</v>
      </c>
      <c r="C624" t="s">
        <v>57</v>
      </c>
      <c r="D624" t="s">
        <v>13</v>
      </c>
      <c r="E624" s="1">
        <v>44657</v>
      </c>
      <c r="F624" t="s">
        <v>14</v>
      </c>
      <c r="G624">
        <v>3395</v>
      </c>
      <c r="H624">
        <v>776</v>
      </c>
      <c r="I624">
        <v>3.15</v>
      </c>
      <c r="J624">
        <v>111</v>
      </c>
      <c r="M624">
        <f t="shared" ca="1" si="36"/>
        <v>1192</v>
      </c>
      <c r="N624" s="3" t="str" cm="1">
        <f t="array" ref="N624">_xlfn.IFS(I624&gt;=3.5,"Excellent",I624&gt;=3,"Good",I624&gt;=2,"Average",I624&lt;2,"Poor")</f>
        <v>Good</v>
      </c>
      <c r="P624" t="str">
        <f t="shared" si="37"/>
        <v/>
      </c>
      <c r="Q624">
        <f t="shared" si="38"/>
        <v>411815</v>
      </c>
      <c r="R624">
        <v>2022</v>
      </c>
      <c r="X624" t="str">
        <f t="shared" ca="1" si="39"/>
        <v/>
      </c>
    </row>
    <row r="625" spans="1:24" x14ac:dyDescent="0.25">
      <c r="A625" t="s">
        <v>1271</v>
      </c>
      <c r="B625" t="s">
        <v>1272</v>
      </c>
      <c r="C625" t="s">
        <v>22</v>
      </c>
      <c r="D625" t="s">
        <v>13</v>
      </c>
      <c r="E625" s="1">
        <v>45253</v>
      </c>
      <c r="F625" t="s">
        <v>19</v>
      </c>
      <c r="G625">
        <v>4517</v>
      </c>
      <c r="H625">
        <v>4565</v>
      </c>
      <c r="I625">
        <v>2.2999999999999998</v>
      </c>
      <c r="J625">
        <v>10</v>
      </c>
      <c r="M625" t="str">
        <f t="shared" ca="1" si="36"/>
        <v/>
      </c>
      <c r="N625" s="3" t="str" cm="1">
        <f t="array" ref="N625">_xlfn.IFS(I625&gt;=3.5,"Excellent",I625&gt;=3,"Good",I625&gt;=2,"Average",I625&lt;2,"Poor")</f>
        <v>Average</v>
      </c>
      <c r="P625" t="str">
        <f t="shared" si="37"/>
        <v>True</v>
      </c>
      <c r="Q625">
        <f t="shared" si="38"/>
        <v>411815</v>
      </c>
      <c r="R625">
        <v>2023</v>
      </c>
      <c r="X625">
        <f t="shared" ca="1" si="39"/>
        <v>596</v>
      </c>
    </row>
    <row r="626" spans="1:24" x14ac:dyDescent="0.25">
      <c r="A626" t="s">
        <v>1273</v>
      </c>
      <c r="B626" t="s">
        <v>1274</v>
      </c>
      <c r="C626" t="s">
        <v>36</v>
      </c>
      <c r="D626" t="s">
        <v>18</v>
      </c>
      <c r="E626" s="1">
        <v>45458</v>
      </c>
      <c r="F626" t="s">
        <v>14</v>
      </c>
      <c r="G626">
        <v>13029</v>
      </c>
      <c r="H626">
        <v>8730</v>
      </c>
      <c r="I626">
        <v>3.5</v>
      </c>
      <c r="J626">
        <v>38</v>
      </c>
      <c r="M626">
        <f t="shared" ca="1" si="36"/>
        <v>391</v>
      </c>
      <c r="N626" s="3" t="str" cm="1">
        <f t="array" ref="N626">_xlfn.IFS(I626&gt;=3.5,"Excellent",I626&gt;=3,"Good",I626&gt;=2,"Average",I626&lt;2,"Poor")</f>
        <v>Excellent</v>
      </c>
      <c r="P626" t="str">
        <f t="shared" si="37"/>
        <v>True</v>
      </c>
      <c r="Q626">
        <f t="shared" si="38"/>
        <v>411815</v>
      </c>
      <c r="R626">
        <v>2024</v>
      </c>
      <c r="X626" t="str">
        <f t="shared" ca="1" si="39"/>
        <v/>
      </c>
    </row>
    <row r="627" spans="1:24" x14ac:dyDescent="0.25">
      <c r="A627" t="s">
        <v>1275</v>
      </c>
      <c r="B627" t="s">
        <v>1276</v>
      </c>
      <c r="C627" t="s">
        <v>28</v>
      </c>
      <c r="D627" t="s">
        <v>62</v>
      </c>
      <c r="E627" s="1">
        <v>45052</v>
      </c>
      <c r="F627" t="s">
        <v>19</v>
      </c>
      <c r="G627">
        <v>10361</v>
      </c>
      <c r="H627">
        <v>8648</v>
      </c>
      <c r="I627">
        <v>2.52</v>
      </c>
      <c r="J627">
        <v>19</v>
      </c>
      <c r="M627" t="str">
        <f t="shared" ca="1" si="36"/>
        <v/>
      </c>
      <c r="N627" s="3" t="str" cm="1">
        <f t="array" ref="N627">_xlfn.IFS(I627&gt;=3.5,"Excellent",I627&gt;=3,"Good",I627&gt;=2,"Average",I627&lt;2,"Poor")</f>
        <v>Average</v>
      </c>
      <c r="P627" t="str">
        <f t="shared" si="37"/>
        <v>True</v>
      </c>
      <c r="Q627">
        <f t="shared" si="38"/>
        <v>411815</v>
      </c>
      <c r="R627">
        <v>2023</v>
      </c>
      <c r="X627">
        <f t="shared" ca="1" si="39"/>
        <v>797</v>
      </c>
    </row>
    <row r="628" spans="1:24" x14ac:dyDescent="0.25">
      <c r="A628" t="s">
        <v>1277</v>
      </c>
      <c r="B628" t="s">
        <v>1278</v>
      </c>
      <c r="C628" t="s">
        <v>54</v>
      </c>
      <c r="D628" t="s">
        <v>31</v>
      </c>
      <c r="E628" s="1">
        <v>45101</v>
      </c>
      <c r="F628" t="s">
        <v>14</v>
      </c>
      <c r="G628">
        <v>9360</v>
      </c>
      <c r="H628">
        <v>9308</v>
      </c>
      <c r="I628">
        <v>2.3199999999999998</v>
      </c>
      <c r="J628">
        <v>114</v>
      </c>
      <c r="M628">
        <f t="shared" ca="1" si="36"/>
        <v>748</v>
      </c>
      <c r="N628" s="3" t="str" cm="1">
        <f t="array" ref="N628">_xlfn.IFS(I628&gt;=3.5,"Excellent",I628&gt;=3,"Good",I628&gt;=2,"Average",I628&lt;2,"Poor")</f>
        <v>Average</v>
      </c>
      <c r="P628" t="str">
        <f t="shared" si="37"/>
        <v>True</v>
      </c>
      <c r="Q628">
        <f t="shared" si="38"/>
        <v>411815</v>
      </c>
      <c r="R628">
        <v>2023</v>
      </c>
      <c r="X628" t="str">
        <f t="shared" ca="1" si="39"/>
        <v/>
      </c>
    </row>
    <row r="629" spans="1:24" x14ac:dyDescent="0.25">
      <c r="A629" t="s">
        <v>1279</v>
      </c>
      <c r="B629" t="s">
        <v>1280</v>
      </c>
      <c r="C629" t="s">
        <v>28</v>
      </c>
      <c r="D629" t="s">
        <v>31</v>
      </c>
      <c r="E629" s="1">
        <v>45162</v>
      </c>
      <c r="F629" t="s">
        <v>19</v>
      </c>
      <c r="G629">
        <v>8250</v>
      </c>
      <c r="H629">
        <v>77</v>
      </c>
      <c r="I629">
        <v>3.47</v>
      </c>
      <c r="J629">
        <v>98</v>
      </c>
      <c r="M629" t="str">
        <f t="shared" ca="1" si="36"/>
        <v/>
      </c>
      <c r="N629" s="3" t="str" cm="1">
        <f t="array" ref="N629">_xlfn.IFS(I629&gt;=3.5,"Excellent",I629&gt;=3,"Good",I629&gt;=2,"Average",I629&lt;2,"Poor")</f>
        <v>Good</v>
      </c>
      <c r="P629" t="str">
        <f t="shared" si="37"/>
        <v/>
      </c>
      <c r="Q629">
        <f t="shared" si="38"/>
        <v>411815</v>
      </c>
      <c r="R629">
        <v>2023</v>
      </c>
      <c r="X629">
        <f t="shared" ca="1" si="39"/>
        <v>687</v>
      </c>
    </row>
    <row r="630" spans="1:24" x14ac:dyDescent="0.25">
      <c r="A630" t="s">
        <v>1281</v>
      </c>
      <c r="B630" t="s">
        <v>1282</v>
      </c>
      <c r="C630" t="s">
        <v>28</v>
      </c>
      <c r="D630" t="s">
        <v>18</v>
      </c>
      <c r="E630" s="1">
        <v>45046</v>
      </c>
      <c r="F630" t="s">
        <v>14</v>
      </c>
      <c r="G630">
        <v>6986</v>
      </c>
      <c r="H630">
        <v>1773</v>
      </c>
      <c r="I630">
        <v>3.12</v>
      </c>
      <c r="J630">
        <v>106</v>
      </c>
      <c r="M630">
        <f t="shared" ca="1" si="36"/>
        <v>803</v>
      </c>
      <c r="N630" s="3" t="str" cm="1">
        <f t="array" ref="N630">_xlfn.IFS(I630&gt;=3.5,"Excellent",I630&gt;=3,"Good",I630&gt;=2,"Average",I630&lt;2,"Poor")</f>
        <v>Good</v>
      </c>
      <c r="P630" t="str">
        <f t="shared" si="37"/>
        <v/>
      </c>
      <c r="Q630">
        <f t="shared" si="38"/>
        <v>411815</v>
      </c>
      <c r="R630">
        <v>2023</v>
      </c>
      <c r="X630" t="str">
        <f t="shared" ca="1" si="39"/>
        <v/>
      </c>
    </row>
    <row r="631" spans="1:24" x14ac:dyDescent="0.25">
      <c r="A631" t="s">
        <v>1283</v>
      </c>
      <c r="B631" t="s">
        <v>1284</v>
      </c>
      <c r="C631" t="s">
        <v>36</v>
      </c>
      <c r="D631" t="s">
        <v>18</v>
      </c>
      <c r="E631" s="1">
        <v>44927</v>
      </c>
      <c r="F631" t="s">
        <v>19</v>
      </c>
      <c r="G631">
        <v>14012</v>
      </c>
      <c r="H631">
        <v>7567</v>
      </c>
      <c r="I631">
        <v>2.29</v>
      </c>
      <c r="J631">
        <v>86</v>
      </c>
      <c r="M631" t="str">
        <f t="shared" ca="1" si="36"/>
        <v/>
      </c>
      <c r="N631" s="3" t="str" cm="1">
        <f t="array" ref="N631">_xlfn.IFS(I631&gt;=3.5,"Excellent",I631&gt;=3,"Good",I631&gt;=2,"Average",I631&lt;2,"Poor")</f>
        <v>Average</v>
      </c>
      <c r="P631" t="str">
        <f t="shared" si="37"/>
        <v>True</v>
      </c>
      <c r="Q631">
        <f t="shared" si="38"/>
        <v>411815</v>
      </c>
      <c r="R631">
        <v>2023</v>
      </c>
      <c r="X631">
        <f t="shared" ca="1" si="39"/>
        <v>922</v>
      </c>
    </row>
    <row r="632" spans="1:24" x14ac:dyDescent="0.25">
      <c r="A632" t="s">
        <v>1285</v>
      </c>
      <c r="B632" t="s">
        <v>1286</v>
      </c>
      <c r="C632" t="s">
        <v>36</v>
      </c>
      <c r="D632" t="s">
        <v>13</v>
      </c>
      <c r="E632" s="1">
        <v>44979</v>
      </c>
      <c r="F632" t="s">
        <v>14</v>
      </c>
      <c r="G632">
        <v>6769</v>
      </c>
      <c r="H632">
        <v>2409</v>
      </c>
      <c r="I632">
        <v>2.2999999999999998</v>
      </c>
      <c r="J632">
        <v>57</v>
      </c>
      <c r="M632">
        <f t="shared" ca="1" si="36"/>
        <v>870</v>
      </c>
      <c r="N632" s="3" t="str" cm="1">
        <f t="array" ref="N632">_xlfn.IFS(I632&gt;=3.5,"Excellent",I632&gt;=3,"Good",I632&gt;=2,"Average",I632&lt;2,"Poor")</f>
        <v>Average</v>
      </c>
      <c r="P632" t="str">
        <f t="shared" si="37"/>
        <v/>
      </c>
      <c r="Q632">
        <f t="shared" si="38"/>
        <v>397803</v>
      </c>
      <c r="R632">
        <v>2023</v>
      </c>
      <c r="X632" t="str">
        <f t="shared" ca="1" si="39"/>
        <v/>
      </c>
    </row>
    <row r="633" spans="1:24" x14ac:dyDescent="0.25">
      <c r="A633" t="s">
        <v>1287</v>
      </c>
      <c r="B633" t="s">
        <v>1288</v>
      </c>
      <c r="C633" t="s">
        <v>17</v>
      </c>
      <c r="D633" t="s">
        <v>13</v>
      </c>
      <c r="E633" s="1">
        <v>45453</v>
      </c>
      <c r="F633" t="s">
        <v>14</v>
      </c>
      <c r="G633">
        <v>3621</v>
      </c>
      <c r="H633">
        <v>3198</v>
      </c>
      <c r="I633">
        <v>3.45</v>
      </c>
      <c r="J633">
        <v>16</v>
      </c>
      <c r="M633">
        <f t="shared" ca="1" si="36"/>
        <v>396</v>
      </c>
      <c r="N633" s="3" t="str" cm="1">
        <f t="array" ref="N633">_xlfn.IFS(I633&gt;=3.5,"Excellent",I633&gt;=3,"Good",I633&gt;=2,"Average",I633&lt;2,"Poor")</f>
        <v>Good</v>
      </c>
      <c r="P633" t="str">
        <f t="shared" si="37"/>
        <v>True</v>
      </c>
      <c r="Q633">
        <f t="shared" si="38"/>
        <v>397803</v>
      </c>
      <c r="R633">
        <v>2024</v>
      </c>
      <c r="X633" t="str">
        <f t="shared" ca="1" si="39"/>
        <v/>
      </c>
    </row>
    <row r="634" spans="1:24" x14ac:dyDescent="0.25">
      <c r="A634" t="s">
        <v>1289</v>
      </c>
      <c r="B634" t="s">
        <v>1290</v>
      </c>
      <c r="C634" t="s">
        <v>54</v>
      </c>
      <c r="D634" t="s">
        <v>31</v>
      </c>
      <c r="E634" s="1">
        <v>44701</v>
      </c>
      <c r="F634" t="s">
        <v>39</v>
      </c>
      <c r="G634">
        <v>14499</v>
      </c>
      <c r="H634">
        <v>2164</v>
      </c>
      <c r="I634">
        <v>2.4</v>
      </c>
      <c r="J634">
        <v>21</v>
      </c>
      <c r="M634" t="str">
        <f t="shared" ca="1" si="36"/>
        <v/>
      </c>
      <c r="N634" s="3" t="str" cm="1">
        <f t="array" ref="N634">_xlfn.IFS(I634&gt;=3.5,"Excellent",I634&gt;=3,"Good",I634&gt;=2,"Average",I634&lt;2,"Poor")</f>
        <v>Average</v>
      </c>
      <c r="P634" t="str">
        <f t="shared" si="37"/>
        <v/>
      </c>
      <c r="Q634">
        <f t="shared" si="38"/>
        <v>397803</v>
      </c>
      <c r="R634">
        <v>2022</v>
      </c>
      <c r="X634" t="str">
        <f t="shared" ca="1" si="39"/>
        <v/>
      </c>
    </row>
    <row r="635" spans="1:24" x14ac:dyDescent="0.25">
      <c r="A635" t="s">
        <v>1291</v>
      </c>
      <c r="B635" t="s">
        <v>1292</v>
      </c>
      <c r="C635" t="s">
        <v>17</v>
      </c>
      <c r="D635" t="s">
        <v>62</v>
      </c>
      <c r="E635" s="1">
        <v>45096</v>
      </c>
      <c r="F635" t="s">
        <v>14</v>
      </c>
      <c r="G635">
        <v>4859</v>
      </c>
      <c r="H635">
        <v>250</v>
      </c>
      <c r="I635">
        <v>3.26</v>
      </c>
      <c r="J635">
        <v>99</v>
      </c>
      <c r="M635">
        <f t="shared" ca="1" si="36"/>
        <v>753</v>
      </c>
      <c r="N635" s="3" t="str" cm="1">
        <f t="array" ref="N635">_xlfn.IFS(I635&gt;=3.5,"Excellent",I635&gt;=3,"Good",I635&gt;=2,"Average",I635&lt;2,"Poor")</f>
        <v>Good</v>
      </c>
      <c r="P635" t="str">
        <f t="shared" si="37"/>
        <v/>
      </c>
      <c r="Q635">
        <f t="shared" si="38"/>
        <v>397803</v>
      </c>
      <c r="R635">
        <v>2023</v>
      </c>
      <c r="X635" t="str">
        <f t="shared" ca="1" si="39"/>
        <v/>
      </c>
    </row>
    <row r="636" spans="1:24" x14ac:dyDescent="0.25">
      <c r="A636" t="s">
        <v>1293</v>
      </c>
      <c r="B636" t="s">
        <v>1294</v>
      </c>
      <c r="C636" t="s">
        <v>28</v>
      </c>
      <c r="D636" t="s">
        <v>13</v>
      </c>
      <c r="E636" s="1">
        <v>44827</v>
      </c>
      <c r="F636" t="s">
        <v>19</v>
      </c>
      <c r="G636">
        <v>3080</v>
      </c>
      <c r="H636">
        <v>9821</v>
      </c>
      <c r="I636">
        <v>2.33</v>
      </c>
      <c r="J636">
        <v>94</v>
      </c>
      <c r="M636" t="str">
        <f t="shared" ca="1" si="36"/>
        <v/>
      </c>
      <c r="N636" s="3" t="str" cm="1">
        <f t="array" ref="N636">_xlfn.IFS(I636&gt;=3.5,"Excellent",I636&gt;=3,"Good",I636&gt;=2,"Average",I636&lt;2,"Poor")</f>
        <v>Average</v>
      </c>
      <c r="P636" t="str">
        <f t="shared" si="37"/>
        <v>True</v>
      </c>
      <c r="Q636">
        <f t="shared" si="38"/>
        <v>397803</v>
      </c>
      <c r="R636">
        <v>2022</v>
      </c>
      <c r="X636">
        <f t="shared" ca="1" si="39"/>
        <v>1022</v>
      </c>
    </row>
    <row r="637" spans="1:24" x14ac:dyDescent="0.25">
      <c r="A637" t="s">
        <v>1295</v>
      </c>
      <c r="B637" t="s">
        <v>1296</v>
      </c>
      <c r="C637" t="s">
        <v>54</v>
      </c>
      <c r="D637" t="s">
        <v>31</v>
      </c>
      <c r="E637" s="1">
        <v>44933</v>
      </c>
      <c r="F637" t="s">
        <v>19</v>
      </c>
      <c r="G637">
        <v>10910</v>
      </c>
      <c r="H637">
        <v>3649</v>
      </c>
      <c r="I637">
        <v>3.02</v>
      </c>
      <c r="J637">
        <v>70</v>
      </c>
      <c r="M637" t="str">
        <f t="shared" ca="1" si="36"/>
        <v/>
      </c>
      <c r="N637" s="3" t="str" cm="1">
        <f t="array" ref="N637">_xlfn.IFS(I637&gt;=3.5,"Excellent",I637&gt;=3,"Good",I637&gt;=2,"Average",I637&lt;2,"Poor")</f>
        <v>Good</v>
      </c>
      <c r="P637" t="str">
        <f t="shared" si="37"/>
        <v/>
      </c>
      <c r="Q637">
        <f t="shared" si="38"/>
        <v>397803</v>
      </c>
      <c r="R637">
        <v>2023</v>
      </c>
      <c r="X637">
        <f t="shared" ca="1" si="39"/>
        <v>916</v>
      </c>
    </row>
    <row r="638" spans="1:24" x14ac:dyDescent="0.25">
      <c r="A638" t="s">
        <v>1297</v>
      </c>
      <c r="B638" t="s">
        <v>1298</v>
      </c>
      <c r="C638" t="s">
        <v>28</v>
      </c>
      <c r="D638" t="s">
        <v>13</v>
      </c>
      <c r="E638" s="1">
        <v>44894</v>
      </c>
      <c r="F638" t="s">
        <v>14</v>
      </c>
      <c r="G638">
        <v>12516</v>
      </c>
      <c r="H638">
        <v>1881</v>
      </c>
      <c r="I638">
        <v>3.86</v>
      </c>
      <c r="J638">
        <v>98</v>
      </c>
      <c r="M638">
        <f t="shared" ca="1" si="36"/>
        <v>955</v>
      </c>
      <c r="N638" s="3" t="str" cm="1">
        <f t="array" ref="N638">_xlfn.IFS(I638&gt;=3.5,"Excellent",I638&gt;=3,"Good",I638&gt;=2,"Average",I638&lt;2,"Poor")</f>
        <v>Excellent</v>
      </c>
      <c r="P638" t="str">
        <f t="shared" si="37"/>
        <v/>
      </c>
      <c r="Q638">
        <f t="shared" si="38"/>
        <v>397803</v>
      </c>
      <c r="R638">
        <v>2022</v>
      </c>
      <c r="X638" t="str">
        <f t="shared" ca="1" si="39"/>
        <v/>
      </c>
    </row>
    <row r="639" spans="1:24" x14ac:dyDescent="0.25">
      <c r="A639" t="s">
        <v>1299</v>
      </c>
      <c r="B639" t="s">
        <v>1300</v>
      </c>
      <c r="C639" t="s">
        <v>28</v>
      </c>
      <c r="D639" t="s">
        <v>31</v>
      </c>
      <c r="E639" s="1">
        <v>45224</v>
      </c>
      <c r="F639" t="s">
        <v>14</v>
      </c>
      <c r="G639">
        <v>3587</v>
      </c>
      <c r="H639">
        <v>9014</v>
      </c>
      <c r="I639">
        <v>2.34</v>
      </c>
      <c r="J639">
        <v>57</v>
      </c>
      <c r="M639">
        <f t="shared" ca="1" si="36"/>
        <v>625</v>
      </c>
      <c r="N639" s="3" t="str" cm="1">
        <f t="array" ref="N639">_xlfn.IFS(I639&gt;=3.5,"Excellent",I639&gt;=3,"Good",I639&gt;=2,"Average",I639&lt;2,"Poor")</f>
        <v>Average</v>
      </c>
      <c r="P639" t="str">
        <f t="shared" si="37"/>
        <v>True</v>
      </c>
      <c r="Q639">
        <f t="shared" si="38"/>
        <v>397803</v>
      </c>
      <c r="R639">
        <v>2023</v>
      </c>
      <c r="X639" t="str">
        <f t="shared" ca="1" si="39"/>
        <v/>
      </c>
    </row>
    <row r="640" spans="1:24" x14ac:dyDescent="0.25">
      <c r="A640" t="s">
        <v>1301</v>
      </c>
      <c r="B640" t="s">
        <v>1302</v>
      </c>
      <c r="C640" t="s">
        <v>54</v>
      </c>
      <c r="D640" t="s">
        <v>62</v>
      </c>
      <c r="E640" s="1">
        <v>45342</v>
      </c>
      <c r="F640" t="s">
        <v>19</v>
      </c>
      <c r="G640">
        <v>13307</v>
      </c>
      <c r="H640">
        <v>66</v>
      </c>
      <c r="I640">
        <v>2.4900000000000002</v>
      </c>
      <c r="J640">
        <v>99</v>
      </c>
      <c r="M640" t="str">
        <f t="shared" ca="1" si="36"/>
        <v/>
      </c>
      <c r="N640" s="3" t="str" cm="1">
        <f t="array" ref="N640">_xlfn.IFS(I640&gt;=3.5,"Excellent",I640&gt;=3,"Good",I640&gt;=2,"Average",I640&lt;2,"Poor")</f>
        <v>Average</v>
      </c>
      <c r="P640" t="str">
        <f t="shared" si="37"/>
        <v/>
      </c>
      <c r="Q640">
        <f t="shared" si="38"/>
        <v>397803</v>
      </c>
      <c r="R640">
        <v>2024</v>
      </c>
      <c r="X640">
        <f t="shared" ca="1" si="39"/>
        <v>507</v>
      </c>
    </row>
    <row r="641" spans="1:24" x14ac:dyDescent="0.25">
      <c r="A641" t="s">
        <v>1303</v>
      </c>
      <c r="B641" t="s">
        <v>1304</v>
      </c>
      <c r="C641" t="s">
        <v>36</v>
      </c>
      <c r="D641" t="s">
        <v>18</v>
      </c>
      <c r="E641" s="1">
        <v>44920</v>
      </c>
      <c r="F641" t="s">
        <v>19</v>
      </c>
      <c r="G641">
        <v>4132</v>
      </c>
      <c r="H641">
        <v>6404</v>
      </c>
      <c r="I641">
        <v>2.63</v>
      </c>
      <c r="J641">
        <v>114</v>
      </c>
      <c r="M641" t="str">
        <f t="shared" ca="1" si="36"/>
        <v/>
      </c>
      <c r="N641" s="3" t="str" cm="1">
        <f t="array" ref="N641">_xlfn.IFS(I641&gt;=3.5,"Excellent",I641&gt;=3,"Good",I641&gt;=2,"Average",I641&lt;2,"Poor")</f>
        <v>Average</v>
      </c>
      <c r="P641" t="str">
        <f t="shared" si="37"/>
        <v>True</v>
      </c>
      <c r="Q641">
        <f t="shared" si="38"/>
        <v>397803</v>
      </c>
      <c r="R641">
        <v>2022</v>
      </c>
      <c r="X641">
        <f t="shared" ca="1" si="39"/>
        <v>929</v>
      </c>
    </row>
    <row r="642" spans="1:24" x14ac:dyDescent="0.25">
      <c r="A642" t="s">
        <v>1305</v>
      </c>
      <c r="B642" t="s">
        <v>1306</v>
      </c>
      <c r="C642" t="s">
        <v>54</v>
      </c>
      <c r="D642" t="s">
        <v>18</v>
      </c>
      <c r="E642" s="1">
        <v>44693</v>
      </c>
      <c r="F642" t="s">
        <v>14</v>
      </c>
      <c r="G642">
        <v>5391</v>
      </c>
      <c r="H642">
        <v>7710</v>
      </c>
      <c r="I642">
        <v>3.61</v>
      </c>
      <c r="J642">
        <v>37</v>
      </c>
      <c r="M642">
        <f t="shared" ca="1" si="36"/>
        <v>1156</v>
      </c>
      <c r="N642" s="3" t="str" cm="1">
        <f t="array" ref="N642">_xlfn.IFS(I642&gt;=3.5,"Excellent",I642&gt;=3,"Good",I642&gt;=2,"Average",I642&lt;2,"Poor")</f>
        <v>Excellent</v>
      </c>
      <c r="P642" t="str">
        <f t="shared" si="37"/>
        <v>True</v>
      </c>
      <c r="Q642">
        <f t="shared" si="38"/>
        <v>393671</v>
      </c>
      <c r="R642">
        <v>2022</v>
      </c>
      <c r="X642" t="str">
        <f t="shared" ca="1" si="39"/>
        <v/>
      </c>
    </row>
    <row r="643" spans="1:24" x14ac:dyDescent="0.25">
      <c r="A643" t="s">
        <v>1307</v>
      </c>
      <c r="B643" t="s">
        <v>1308</v>
      </c>
      <c r="C643" t="s">
        <v>57</v>
      </c>
      <c r="D643" t="s">
        <v>18</v>
      </c>
      <c r="E643" s="1">
        <v>44835</v>
      </c>
      <c r="F643" t="s">
        <v>19</v>
      </c>
      <c r="G643">
        <v>4790</v>
      </c>
      <c r="H643">
        <v>5633</v>
      </c>
      <c r="I643">
        <v>2.11</v>
      </c>
      <c r="J643">
        <v>52</v>
      </c>
      <c r="M643" t="str">
        <f t="shared" ref="M643:M706" ca="1" si="40">IF(F643="Enrolled",TODAY()-E643,"")</f>
        <v/>
      </c>
      <c r="N643" s="3" t="str" cm="1">
        <f t="array" ref="N643">_xlfn.IFS(I643&gt;=3.5,"Excellent",I643&gt;=3,"Good",I643&gt;=2,"Average",I643&lt;2,"Poor")</f>
        <v>Average</v>
      </c>
      <c r="P643" t="str">
        <f t="shared" ref="P643:P706" si="41">IF(H643&gt;0.5*G643,"True","")</f>
        <v>True</v>
      </c>
      <c r="Q643">
        <f t="shared" ref="Q643:Q706" si="42">SUMIFS(G643:G1842,F643:F1842,"Completed",D643:D1842,"Science")</f>
        <v>393671</v>
      </c>
      <c r="R643">
        <v>2022</v>
      </c>
      <c r="X643">
        <f t="shared" ref="X643:X706" ca="1" si="43">IF(F643="Completed",TODAY()-E643,"")</f>
        <v>1014</v>
      </c>
    </row>
    <row r="644" spans="1:24" x14ac:dyDescent="0.25">
      <c r="A644" t="s">
        <v>1309</v>
      </c>
      <c r="B644" t="s">
        <v>1310</v>
      </c>
      <c r="C644" t="s">
        <v>36</v>
      </c>
      <c r="D644" t="s">
        <v>62</v>
      </c>
      <c r="E644" s="1">
        <v>44904</v>
      </c>
      <c r="F644" t="s">
        <v>14</v>
      </c>
      <c r="G644">
        <v>13302</v>
      </c>
      <c r="H644">
        <v>9211</v>
      </c>
      <c r="I644">
        <v>2.5</v>
      </c>
      <c r="J644">
        <v>98</v>
      </c>
      <c r="M644">
        <f t="shared" ca="1" si="40"/>
        <v>945</v>
      </c>
      <c r="N644" s="3" t="str" cm="1">
        <f t="array" ref="N644">_xlfn.IFS(I644&gt;=3.5,"Excellent",I644&gt;=3,"Good",I644&gt;=2,"Average",I644&lt;2,"Poor")</f>
        <v>Average</v>
      </c>
      <c r="P644" t="str">
        <f t="shared" si="41"/>
        <v>True</v>
      </c>
      <c r="Q644">
        <f t="shared" si="42"/>
        <v>388881</v>
      </c>
      <c r="R644">
        <v>2022</v>
      </c>
      <c r="X644" t="str">
        <f t="shared" ca="1" si="43"/>
        <v/>
      </c>
    </row>
    <row r="645" spans="1:24" x14ac:dyDescent="0.25">
      <c r="A645" t="s">
        <v>1311</v>
      </c>
      <c r="B645" t="s">
        <v>1312</v>
      </c>
      <c r="C645" t="s">
        <v>54</v>
      </c>
      <c r="D645" t="s">
        <v>13</v>
      </c>
      <c r="E645" s="1">
        <v>45435</v>
      </c>
      <c r="F645" t="s">
        <v>14</v>
      </c>
      <c r="G645">
        <v>9424</v>
      </c>
      <c r="H645">
        <v>2947</v>
      </c>
      <c r="I645">
        <v>2.5</v>
      </c>
      <c r="J645">
        <v>86</v>
      </c>
      <c r="M645">
        <f t="shared" ca="1" si="40"/>
        <v>414</v>
      </c>
      <c r="N645" s="3" t="str" cm="1">
        <f t="array" ref="N645">_xlfn.IFS(I645&gt;=3.5,"Excellent",I645&gt;=3,"Good",I645&gt;=2,"Average",I645&lt;2,"Poor")</f>
        <v>Average</v>
      </c>
      <c r="P645" t="str">
        <f t="shared" si="41"/>
        <v/>
      </c>
      <c r="Q645">
        <f t="shared" si="42"/>
        <v>388881</v>
      </c>
      <c r="R645">
        <v>2024</v>
      </c>
      <c r="X645" t="str">
        <f t="shared" ca="1" si="43"/>
        <v/>
      </c>
    </row>
    <row r="646" spans="1:24" x14ac:dyDescent="0.25">
      <c r="A646" t="s">
        <v>1313</v>
      </c>
      <c r="B646" t="s">
        <v>1314</v>
      </c>
      <c r="C646" t="s">
        <v>12</v>
      </c>
      <c r="D646" t="s">
        <v>31</v>
      </c>
      <c r="E646" s="1">
        <v>44992</v>
      </c>
      <c r="F646" t="s">
        <v>14</v>
      </c>
      <c r="G646">
        <v>13660</v>
      </c>
      <c r="H646">
        <v>1268</v>
      </c>
      <c r="I646">
        <v>3.06</v>
      </c>
      <c r="J646">
        <v>98</v>
      </c>
      <c r="M646">
        <f t="shared" ca="1" si="40"/>
        <v>857</v>
      </c>
      <c r="N646" s="3" t="str" cm="1">
        <f t="array" ref="N646">_xlfn.IFS(I646&gt;=3.5,"Excellent",I646&gt;=3,"Good",I646&gt;=2,"Average",I646&lt;2,"Poor")</f>
        <v>Good</v>
      </c>
      <c r="P646" t="str">
        <f t="shared" si="41"/>
        <v/>
      </c>
      <c r="Q646">
        <f t="shared" si="42"/>
        <v>388881</v>
      </c>
      <c r="R646">
        <v>2023</v>
      </c>
      <c r="X646" t="str">
        <f t="shared" ca="1" si="43"/>
        <v/>
      </c>
    </row>
    <row r="647" spans="1:24" x14ac:dyDescent="0.25">
      <c r="A647" t="s">
        <v>1315</v>
      </c>
      <c r="B647" t="s">
        <v>1316</v>
      </c>
      <c r="C647" t="s">
        <v>17</v>
      </c>
      <c r="D647" t="s">
        <v>18</v>
      </c>
      <c r="E647" s="1">
        <v>45038</v>
      </c>
      <c r="F647" t="s">
        <v>14</v>
      </c>
      <c r="G647">
        <v>2789</v>
      </c>
      <c r="H647">
        <v>469</v>
      </c>
      <c r="I647">
        <v>3.93</v>
      </c>
      <c r="J647">
        <v>22</v>
      </c>
      <c r="M647">
        <f t="shared" ca="1" si="40"/>
        <v>811</v>
      </c>
      <c r="N647" s="3" t="str" cm="1">
        <f t="array" ref="N647">_xlfn.IFS(I647&gt;=3.5,"Excellent",I647&gt;=3,"Good",I647&gt;=2,"Average",I647&lt;2,"Poor")</f>
        <v>Excellent</v>
      </c>
      <c r="P647" t="str">
        <f t="shared" si="41"/>
        <v/>
      </c>
      <c r="Q647">
        <f t="shared" si="42"/>
        <v>388881</v>
      </c>
      <c r="R647">
        <v>2023</v>
      </c>
      <c r="X647" t="str">
        <f t="shared" ca="1" si="43"/>
        <v/>
      </c>
    </row>
    <row r="648" spans="1:24" x14ac:dyDescent="0.25">
      <c r="A648" t="s">
        <v>1317</v>
      </c>
      <c r="B648" t="s">
        <v>1318</v>
      </c>
      <c r="C648" t="s">
        <v>54</v>
      </c>
      <c r="D648" t="s">
        <v>62</v>
      </c>
      <c r="E648" s="1">
        <v>44718</v>
      </c>
      <c r="F648" t="s">
        <v>19</v>
      </c>
      <c r="G648">
        <v>14573</v>
      </c>
      <c r="H648">
        <v>2083</v>
      </c>
      <c r="I648">
        <v>2.67</v>
      </c>
      <c r="J648">
        <v>115</v>
      </c>
      <c r="M648" t="str">
        <f t="shared" ca="1" si="40"/>
        <v/>
      </c>
      <c r="N648" s="3" t="str" cm="1">
        <f t="array" ref="N648">_xlfn.IFS(I648&gt;=3.5,"Excellent",I648&gt;=3,"Good",I648&gt;=2,"Average",I648&lt;2,"Poor")</f>
        <v>Average</v>
      </c>
      <c r="P648" t="str">
        <f t="shared" si="41"/>
        <v/>
      </c>
      <c r="Q648">
        <f t="shared" si="42"/>
        <v>388881</v>
      </c>
      <c r="R648">
        <v>2022</v>
      </c>
      <c r="X648">
        <f t="shared" ca="1" si="43"/>
        <v>1131</v>
      </c>
    </row>
    <row r="649" spans="1:24" x14ac:dyDescent="0.25">
      <c r="A649" t="s">
        <v>1319</v>
      </c>
      <c r="B649" t="s">
        <v>1320</v>
      </c>
      <c r="C649" t="s">
        <v>22</v>
      </c>
      <c r="D649" t="s">
        <v>31</v>
      </c>
      <c r="E649" s="1">
        <v>44625</v>
      </c>
      <c r="F649" t="s">
        <v>14</v>
      </c>
      <c r="G649">
        <v>4580</v>
      </c>
      <c r="H649">
        <v>2043</v>
      </c>
      <c r="I649">
        <v>2.02</v>
      </c>
      <c r="J649">
        <v>100</v>
      </c>
      <c r="M649">
        <f t="shared" ca="1" si="40"/>
        <v>1224</v>
      </c>
      <c r="N649" s="3" t="str" cm="1">
        <f t="array" ref="N649">_xlfn.IFS(I649&gt;=3.5,"Excellent",I649&gt;=3,"Good",I649&gt;=2,"Average",I649&lt;2,"Poor")</f>
        <v>Average</v>
      </c>
      <c r="P649" t="str">
        <f t="shared" si="41"/>
        <v/>
      </c>
      <c r="Q649">
        <f t="shared" si="42"/>
        <v>388881</v>
      </c>
      <c r="R649">
        <v>2022</v>
      </c>
      <c r="X649" t="str">
        <f t="shared" ca="1" si="43"/>
        <v/>
      </c>
    </row>
    <row r="650" spans="1:24" x14ac:dyDescent="0.25">
      <c r="A650" t="s">
        <v>1321</v>
      </c>
      <c r="B650" t="s">
        <v>1322</v>
      </c>
      <c r="C650" t="s">
        <v>54</v>
      </c>
      <c r="D650" t="s">
        <v>13</v>
      </c>
      <c r="E650" s="1">
        <v>44740</v>
      </c>
      <c r="F650" t="s">
        <v>14</v>
      </c>
      <c r="G650">
        <v>8254</v>
      </c>
      <c r="H650">
        <v>4272</v>
      </c>
      <c r="I650">
        <v>2.2599999999999998</v>
      </c>
      <c r="J650">
        <v>5</v>
      </c>
      <c r="M650">
        <f t="shared" ca="1" si="40"/>
        <v>1109</v>
      </c>
      <c r="N650" s="3" t="str" cm="1">
        <f t="array" ref="N650">_xlfn.IFS(I650&gt;=3.5,"Excellent",I650&gt;=3,"Good",I650&gt;=2,"Average",I650&lt;2,"Poor")</f>
        <v>Average</v>
      </c>
      <c r="P650" t="str">
        <f t="shared" si="41"/>
        <v>True</v>
      </c>
      <c r="Q650">
        <f t="shared" si="42"/>
        <v>388881</v>
      </c>
      <c r="R650">
        <v>2022</v>
      </c>
      <c r="X650" t="str">
        <f t="shared" ca="1" si="43"/>
        <v/>
      </c>
    </row>
    <row r="651" spans="1:24" x14ac:dyDescent="0.25">
      <c r="A651" t="s">
        <v>1323</v>
      </c>
      <c r="B651" t="s">
        <v>1324</v>
      </c>
      <c r="C651" t="s">
        <v>28</v>
      </c>
      <c r="D651" t="s">
        <v>18</v>
      </c>
      <c r="E651" s="1">
        <v>44938</v>
      </c>
      <c r="F651" t="s">
        <v>39</v>
      </c>
      <c r="G651">
        <v>5234</v>
      </c>
      <c r="H651">
        <v>134</v>
      </c>
      <c r="I651">
        <v>3.59</v>
      </c>
      <c r="J651">
        <v>100</v>
      </c>
      <c r="M651" t="str">
        <f t="shared" ca="1" si="40"/>
        <v/>
      </c>
      <c r="N651" s="3" t="str" cm="1">
        <f t="array" ref="N651">_xlfn.IFS(I651&gt;=3.5,"Excellent",I651&gt;=3,"Good",I651&gt;=2,"Average",I651&lt;2,"Poor")</f>
        <v>Excellent</v>
      </c>
      <c r="P651" t="str">
        <f t="shared" si="41"/>
        <v/>
      </c>
      <c r="Q651">
        <f t="shared" si="42"/>
        <v>388881</v>
      </c>
      <c r="R651">
        <v>2023</v>
      </c>
      <c r="X651" t="str">
        <f t="shared" ca="1" si="43"/>
        <v/>
      </c>
    </row>
    <row r="652" spans="1:24" x14ac:dyDescent="0.25">
      <c r="A652" t="s">
        <v>1325</v>
      </c>
      <c r="B652" t="s">
        <v>1326</v>
      </c>
      <c r="C652" t="s">
        <v>25</v>
      </c>
      <c r="D652" t="s">
        <v>31</v>
      </c>
      <c r="E652" s="1">
        <v>44916</v>
      </c>
      <c r="F652" t="s">
        <v>14</v>
      </c>
      <c r="G652">
        <v>5237</v>
      </c>
      <c r="H652">
        <v>5339</v>
      </c>
      <c r="I652">
        <v>3.07</v>
      </c>
      <c r="J652">
        <v>65</v>
      </c>
      <c r="M652">
        <f t="shared" ca="1" si="40"/>
        <v>933</v>
      </c>
      <c r="N652" s="3" t="str" cm="1">
        <f t="array" ref="N652">_xlfn.IFS(I652&gt;=3.5,"Excellent",I652&gt;=3,"Good",I652&gt;=2,"Average",I652&lt;2,"Poor")</f>
        <v>Good</v>
      </c>
      <c r="P652" t="str">
        <f t="shared" si="41"/>
        <v>True</v>
      </c>
      <c r="Q652">
        <f t="shared" si="42"/>
        <v>388881</v>
      </c>
      <c r="R652">
        <v>2022</v>
      </c>
      <c r="X652" t="str">
        <f t="shared" ca="1" si="43"/>
        <v/>
      </c>
    </row>
    <row r="653" spans="1:24" x14ac:dyDescent="0.25">
      <c r="A653" t="s">
        <v>1327</v>
      </c>
      <c r="B653" t="s">
        <v>1328</v>
      </c>
      <c r="C653" t="s">
        <v>54</v>
      </c>
      <c r="D653" t="s">
        <v>62</v>
      </c>
      <c r="E653" s="1">
        <v>44818</v>
      </c>
      <c r="F653" t="s">
        <v>19</v>
      </c>
      <c r="G653">
        <v>6803</v>
      </c>
      <c r="H653">
        <v>5852</v>
      </c>
      <c r="I653">
        <v>2.89</v>
      </c>
      <c r="J653">
        <v>35</v>
      </c>
      <c r="M653" t="str">
        <f t="shared" ca="1" si="40"/>
        <v/>
      </c>
      <c r="N653" s="3" t="str" cm="1">
        <f t="array" ref="N653">_xlfn.IFS(I653&gt;=3.5,"Excellent",I653&gt;=3,"Good",I653&gt;=2,"Average",I653&lt;2,"Poor")</f>
        <v>Average</v>
      </c>
      <c r="P653" t="str">
        <f t="shared" si="41"/>
        <v>True</v>
      </c>
      <c r="Q653">
        <f t="shared" si="42"/>
        <v>388881</v>
      </c>
      <c r="R653">
        <v>2022</v>
      </c>
      <c r="X653">
        <f t="shared" ca="1" si="43"/>
        <v>1031</v>
      </c>
    </row>
    <row r="654" spans="1:24" x14ac:dyDescent="0.25">
      <c r="A654" t="s">
        <v>1329</v>
      </c>
      <c r="B654" t="s">
        <v>1330</v>
      </c>
      <c r="C654" t="s">
        <v>17</v>
      </c>
      <c r="D654" t="s">
        <v>18</v>
      </c>
      <c r="E654" s="1">
        <v>44563</v>
      </c>
      <c r="F654" t="s">
        <v>14</v>
      </c>
      <c r="G654">
        <v>3355</v>
      </c>
      <c r="H654">
        <v>1493</v>
      </c>
      <c r="I654">
        <v>3.49</v>
      </c>
      <c r="J654">
        <v>102</v>
      </c>
      <c r="M654">
        <f t="shared" ca="1" si="40"/>
        <v>1286</v>
      </c>
      <c r="N654" s="3" t="str" cm="1">
        <f t="array" ref="N654">_xlfn.IFS(I654&gt;=3.5,"Excellent",I654&gt;=3,"Good",I654&gt;=2,"Average",I654&lt;2,"Poor")</f>
        <v>Good</v>
      </c>
      <c r="P654" t="str">
        <f t="shared" si="41"/>
        <v/>
      </c>
      <c r="Q654">
        <f t="shared" si="42"/>
        <v>388881</v>
      </c>
      <c r="R654">
        <v>2022</v>
      </c>
      <c r="X654" t="str">
        <f t="shared" ca="1" si="43"/>
        <v/>
      </c>
    </row>
    <row r="655" spans="1:24" x14ac:dyDescent="0.25">
      <c r="A655" t="s">
        <v>1331</v>
      </c>
      <c r="B655" t="s">
        <v>1332</v>
      </c>
      <c r="C655" t="s">
        <v>54</v>
      </c>
      <c r="D655" t="s">
        <v>18</v>
      </c>
      <c r="E655" s="1">
        <v>44923</v>
      </c>
      <c r="F655" t="s">
        <v>19</v>
      </c>
      <c r="G655">
        <v>13586</v>
      </c>
      <c r="H655">
        <v>6814</v>
      </c>
      <c r="I655">
        <v>2.67</v>
      </c>
      <c r="J655">
        <v>118</v>
      </c>
      <c r="M655" t="str">
        <f t="shared" ca="1" si="40"/>
        <v/>
      </c>
      <c r="N655" s="3" t="str" cm="1">
        <f t="array" ref="N655">_xlfn.IFS(I655&gt;=3.5,"Excellent",I655&gt;=3,"Good",I655&gt;=2,"Average",I655&lt;2,"Poor")</f>
        <v>Average</v>
      </c>
      <c r="P655" t="str">
        <f t="shared" si="41"/>
        <v>True</v>
      </c>
      <c r="Q655">
        <f t="shared" si="42"/>
        <v>388881</v>
      </c>
      <c r="R655">
        <v>2022</v>
      </c>
      <c r="X655">
        <f t="shared" ca="1" si="43"/>
        <v>926</v>
      </c>
    </row>
    <row r="656" spans="1:24" x14ac:dyDescent="0.25">
      <c r="A656" t="s">
        <v>1333</v>
      </c>
      <c r="B656" t="s">
        <v>1334</v>
      </c>
      <c r="C656" t="s">
        <v>57</v>
      </c>
      <c r="D656" t="s">
        <v>31</v>
      </c>
      <c r="E656" s="1">
        <v>45134</v>
      </c>
      <c r="F656" t="s">
        <v>14</v>
      </c>
      <c r="G656">
        <v>7191</v>
      </c>
      <c r="H656">
        <v>5791</v>
      </c>
      <c r="I656">
        <v>2.06</v>
      </c>
      <c r="J656">
        <v>10</v>
      </c>
      <c r="M656">
        <f t="shared" ca="1" si="40"/>
        <v>715</v>
      </c>
      <c r="N656" s="3" t="str" cm="1">
        <f t="array" ref="N656">_xlfn.IFS(I656&gt;=3.5,"Excellent",I656&gt;=3,"Good",I656&gt;=2,"Average",I656&lt;2,"Poor")</f>
        <v>Average</v>
      </c>
      <c r="P656" t="str">
        <f t="shared" si="41"/>
        <v>True</v>
      </c>
      <c r="Q656">
        <f t="shared" si="42"/>
        <v>375295</v>
      </c>
      <c r="R656">
        <v>2023</v>
      </c>
      <c r="X656" t="str">
        <f t="shared" ca="1" si="43"/>
        <v/>
      </c>
    </row>
    <row r="657" spans="1:24" x14ac:dyDescent="0.25">
      <c r="A657" t="s">
        <v>1335</v>
      </c>
      <c r="B657" t="s">
        <v>1336</v>
      </c>
      <c r="C657" t="s">
        <v>36</v>
      </c>
      <c r="D657" t="s">
        <v>62</v>
      </c>
      <c r="E657" s="1">
        <v>44936</v>
      </c>
      <c r="F657" t="s">
        <v>19</v>
      </c>
      <c r="G657">
        <v>2088</v>
      </c>
      <c r="H657">
        <v>9067</v>
      </c>
      <c r="I657">
        <v>2.82</v>
      </c>
      <c r="J657">
        <v>48</v>
      </c>
      <c r="M657" t="str">
        <f t="shared" ca="1" si="40"/>
        <v/>
      </c>
      <c r="N657" s="3" t="str" cm="1">
        <f t="array" ref="N657">_xlfn.IFS(I657&gt;=3.5,"Excellent",I657&gt;=3,"Good",I657&gt;=2,"Average",I657&lt;2,"Poor")</f>
        <v>Average</v>
      </c>
      <c r="P657" t="str">
        <f t="shared" si="41"/>
        <v>True</v>
      </c>
      <c r="Q657">
        <f t="shared" si="42"/>
        <v>375295</v>
      </c>
      <c r="R657">
        <v>2023</v>
      </c>
      <c r="X657">
        <f t="shared" ca="1" si="43"/>
        <v>913</v>
      </c>
    </row>
    <row r="658" spans="1:24" x14ac:dyDescent="0.25">
      <c r="A658" t="s">
        <v>1337</v>
      </c>
      <c r="B658" t="s">
        <v>1338</v>
      </c>
      <c r="C658" t="s">
        <v>17</v>
      </c>
      <c r="D658" t="s">
        <v>31</v>
      </c>
      <c r="E658" s="1">
        <v>45431</v>
      </c>
      <c r="F658" t="s">
        <v>14</v>
      </c>
      <c r="G658">
        <v>8068</v>
      </c>
      <c r="H658">
        <v>5741</v>
      </c>
      <c r="I658">
        <v>3.01</v>
      </c>
      <c r="J658">
        <v>13</v>
      </c>
      <c r="M658">
        <f t="shared" ca="1" si="40"/>
        <v>418</v>
      </c>
      <c r="N658" s="3" t="str" cm="1">
        <f t="array" ref="N658">_xlfn.IFS(I658&gt;=3.5,"Excellent",I658&gt;=3,"Good",I658&gt;=2,"Average",I658&lt;2,"Poor")</f>
        <v>Good</v>
      </c>
      <c r="P658" t="str">
        <f t="shared" si="41"/>
        <v>True</v>
      </c>
      <c r="Q658">
        <f t="shared" si="42"/>
        <v>375295</v>
      </c>
      <c r="R658">
        <v>2024</v>
      </c>
      <c r="X658" t="str">
        <f t="shared" ca="1" si="43"/>
        <v/>
      </c>
    </row>
    <row r="659" spans="1:24" x14ac:dyDescent="0.25">
      <c r="A659" t="s">
        <v>1339</v>
      </c>
      <c r="B659" t="s">
        <v>1340</v>
      </c>
      <c r="C659" t="s">
        <v>17</v>
      </c>
      <c r="D659" t="s">
        <v>13</v>
      </c>
      <c r="E659" s="1">
        <v>45205</v>
      </c>
      <c r="F659" t="s">
        <v>14</v>
      </c>
      <c r="G659">
        <v>9351</v>
      </c>
      <c r="H659">
        <v>3044</v>
      </c>
      <c r="I659">
        <v>2.15</v>
      </c>
      <c r="J659">
        <v>0</v>
      </c>
      <c r="M659">
        <f t="shared" ca="1" si="40"/>
        <v>644</v>
      </c>
      <c r="N659" s="3" t="str" cm="1">
        <f t="array" ref="N659">_xlfn.IFS(I659&gt;=3.5,"Excellent",I659&gt;=3,"Good",I659&gt;=2,"Average",I659&lt;2,"Poor")</f>
        <v>Average</v>
      </c>
      <c r="P659" t="str">
        <f t="shared" si="41"/>
        <v/>
      </c>
      <c r="Q659">
        <f t="shared" si="42"/>
        <v>375295</v>
      </c>
      <c r="R659">
        <v>2023</v>
      </c>
      <c r="X659" t="str">
        <f t="shared" ca="1" si="43"/>
        <v/>
      </c>
    </row>
    <row r="660" spans="1:24" x14ac:dyDescent="0.25">
      <c r="A660" t="s">
        <v>1341</v>
      </c>
      <c r="B660" t="s">
        <v>1342</v>
      </c>
      <c r="C660" t="s">
        <v>17</v>
      </c>
      <c r="D660" t="s">
        <v>18</v>
      </c>
      <c r="E660" s="1">
        <v>44607</v>
      </c>
      <c r="F660" t="s">
        <v>14</v>
      </c>
      <c r="G660">
        <v>13082</v>
      </c>
      <c r="H660">
        <v>4263</v>
      </c>
      <c r="I660">
        <v>2.12</v>
      </c>
      <c r="J660">
        <v>80</v>
      </c>
      <c r="M660">
        <f t="shared" ca="1" si="40"/>
        <v>1242</v>
      </c>
      <c r="N660" s="3" t="str" cm="1">
        <f t="array" ref="N660">_xlfn.IFS(I660&gt;=3.5,"Excellent",I660&gt;=3,"Good",I660&gt;=2,"Average",I660&lt;2,"Poor")</f>
        <v>Average</v>
      </c>
      <c r="P660" t="str">
        <f t="shared" si="41"/>
        <v/>
      </c>
      <c r="Q660">
        <f t="shared" si="42"/>
        <v>375295</v>
      </c>
      <c r="R660">
        <v>2022</v>
      </c>
      <c r="X660" t="str">
        <f t="shared" ca="1" si="43"/>
        <v/>
      </c>
    </row>
    <row r="661" spans="1:24" x14ac:dyDescent="0.25">
      <c r="A661" t="s">
        <v>1343</v>
      </c>
      <c r="B661" t="s">
        <v>1344</v>
      </c>
      <c r="C661" t="s">
        <v>57</v>
      </c>
      <c r="D661" t="s">
        <v>62</v>
      </c>
      <c r="E661" s="1">
        <v>44650</v>
      </c>
      <c r="F661" t="s">
        <v>39</v>
      </c>
      <c r="G661">
        <v>7721</v>
      </c>
      <c r="H661">
        <v>5545</v>
      </c>
      <c r="I661">
        <v>2.89</v>
      </c>
      <c r="J661">
        <v>18</v>
      </c>
      <c r="M661" t="str">
        <f t="shared" ca="1" si="40"/>
        <v/>
      </c>
      <c r="N661" s="3" t="str" cm="1">
        <f t="array" ref="N661">_xlfn.IFS(I661&gt;=3.5,"Excellent",I661&gt;=3,"Good",I661&gt;=2,"Average",I661&lt;2,"Poor")</f>
        <v>Average</v>
      </c>
      <c r="P661" t="str">
        <f t="shared" si="41"/>
        <v>True</v>
      </c>
      <c r="Q661">
        <f t="shared" si="42"/>
        <v>375295</v>
      </c>
      <c r="R661">
        <v>2022</v>
      </c>
      <c r="X661" t="str">
        <f t="shared" ca="1" si="43"/>
        <v/>
      </c>
    </row>
    <row r="662" spans="1:24" x14ac:dyDescent="0.25">
      <c r="A662" t="s">
        <v>1345</v>
      </c>
      <c r="B662" t="s">
        <v>1346</v>
      </c>
      <c r="C662" t="s">
        <v>57</v>
      </c>
      <c r="D662" t="s">
        <v>62</v>
      </c>
      <c r="E662" s="1">
        <v>45073</v>
      </c>
      <c r="F662" t="s">
        <v>19</v>
      </c>
      <c r="G662">
        <v>10644</v>
      </c>
      <c r="H662">
        <v>3148</v>
      </c>
      <c r="I662">
        <v>3.04</v>
      </c>
      <c r="J662">
        <v>34</v>
      </c>
      <c r="M662" t="str">
        <f t="shared" ca="1" si="40"/>
        <v/>
      </c>
      <c r="N662" s="3" t="str" cm="1">
        <f t="array" ref="N662">_xlfn.IFS(I662&gt;=3.5,"Excellent",I662&gt;=3,"Good",I662&gt;=2,"Average",I662&lt;2,"Poor")</f>
        <v>Good</v>
      </c>
      <c r="P662" t="str">
        <f t="shared" si="41"/>
        <v/>
      </c>
      <c r="Q662">
        <f t="shared" si="42"/>
        <v>375295</v>
      </c>
      <c r="R662">
        <v>2023</v>
      </c>
      <c r="X662">
        <f t="shared" ca="1" si="43"/>
        <v>776</v>
      </c>
    </row>
    <row r="663" spans="1:24" x14ac:dyDescent="0.25">
      <c r="A663" t="s">
        <v>1347</v>
      </c>
      <c r="B663" t="s">
        <v>1348</v>
      </c>
      <c r="C663" t="s">
        <v>22</v>
      </c>
      <c r="D663" t="s">
        <v>18</v>
      </c>
      <c r="E663" s="1">
        <v>45199</v>
      </c>
      <c r="F663" t="s">
        <v>14</v>
      </c>
      <c r="G663">
        <v>10752</v>
      </c>
      <c r="H663">
        <v>6829</v>
      </c>
      <c r="I663">
        <v>2.9</v>
      </c>
      <c r="J663">
        <v>67</v>
      </c>
      <c r="M663">
        <f t="shared" ca="1" si="40"/>
        <v>650</v>
      </c>
      <c r="N663" s="3" t="str" cm="1">
        <f t="array" ref="N663">_xlfn.IFS(I663&gt;=3.5,"Excellent",I663&gt;=3,"Good",I663&gt;=2,"Average",I663&lt;2,"Poor")</f>
        <v>Average</v>
      </c>
      <c r="P663" t="str">
        <f t="shared" si="41"/>
        <v>True</v>
      </c>
      <c r="Q663">
        <f t="shared" si="42"/>
        <v>375295</v>
      </c>
      <c r="R663">
        <v>2023</v>
      </c>
      <c r="X663" t="str">
        <f t="shared" ca="1" si="43"/>
        <v/>
      </c>
    </row>
    <row r="664" spans="1:24" x14ac:dyDescent="0.25">
      <c r="A664" t="s">
        <v>1349</v>
      </c>
      <c r="B664" t="s">
        <v>1350</v>
      </c>
      <c r="C664" t="s">
        <v>17</v>
      </c>
      <c r="D664" t="s">
        <v>13</v>
      </c>
      <c r="E664" s="1">
        <v>45190</v>
      </c>
      <c r="F664" t="s">
        <v>19</v>
      </c>
      <c r="G664">
        <v>3252</v>
      </c>
      <c r="H664">
        <v>5292</v>
      </c>
      <c r="I664">
        <v>2.66</v>
      </c>
      <c r="J664">
        <v>80</v>
      </c>
      <c r="M664" t="str">
        <f t="shared" ca="1" si="40"/>
        <v/>
      </c>
      <c r="N664" s="3" t="str" cm="1">
        <f t="array" ref="N664">_xlfn.IFS(I664&gt;=3.5,"Excellent",I664&gt;=3,"Good",I664&gt;=2,"Average",I664&lt;2,"Poor")</f>
        <v>Average</v>
      </c>
      <c r="P664" t="str">
        <f t="shared" si="41"/>
        <v>True</v>
      </c>
      <c r="Q664">
        <f t="shared" si="42"/>
        <v>375295</v>
      </c>
      <c r="R664">
        <v>2023</v>
      </c>
      <c r="X664">
        <f t="shared" ca="1" si="43"/>
        <v>659</v>
      </c>
    </row>
    <row r="665" spans="1:24" x14ac:dyDescent="0.25">
      <c r="A665" t="s">
        <v>1351</v>
      </c>
      <c r="B665" t="s">
        <v>1352</v>
      </c>
      <c r="C665" t="s">
        <v>17</v>
      </c>
      <c r="D665" t="s">
        <v>62</v>
      </c>
      <c r="E665" s="1">
        <v>44712</v>
      </c>
      <c r="F665" t="s">
        <v>14</v>
      </c>
      <c r="G665">
        <v>11497</v>
      </c>
      <c r="H665">
        <v>273</v>
      </c>
      <c r="I665">
        <v>2.9</v>
      </c>
      <c r="J665">
        <v>47</v>
      </c>
      <c r="M665">
        <f t="shared" ca="1" si="40"/>
        <v>1137</v>
      </c>
      <c r="N665" s="3" t="str" cm="1">
        <f t="array" ref="N665">_xlfn.IFS(I665&gt;=3.5,"Excellent",I665&gt;=3,"Good",I665&gt;=2,"Average",I665&lt;2,"Poor")</f>
        <v>Average</v>
      </c>
      <c r="P665" t="str">
        <f t="shared" si="41"/>
        <v/>
      </c>
      <c r="Q665">
        <f t="shared" si="42"/>
        <v>375295</v>
      </c>
      <c r="R665">
        <v>2022</v>
      </c>
      <c r="X665" t="str">
        <f t="shared" ca="1" si="43"/>
        <v/>
      </c>
    </row>
    <row r="666" spans="1:24" x14ac:dyDescent="0.25">
      <c r="A666" t="s">
        <v>1353</v>
      </c>
      <c r="B666" t="s">
        <v>1354</v>
      </c>
      <c r="C666" t="s">
        <v>57</v>
      </c>
      <c r="D666" t="s">
        <v>13</v>
      </c>
      <c r="E666" s="1">
        <v>45138</v>
      </c>
      <c r="F666" t="s">
        <v>14</v>
      </c>
      <c r="G666">
        <v>7089</v>
      </c>
      <c r="H666">
        <v>6857</v>
      </c>
      <c r="I666">
        <v>3.75</v>
      </c>
      <c r="J666">
        <v>113</v>
      </c>
      <c r="M666">
        <f t="shared" ca="1" si="40"/>
        <v>711</v>
      </c>
      <c r="N666" s="3" t="str" cm="1">
        <f t="array" ref="N666">_xlfn.IFS(I666&gt;=3.5,"Excellent",I666&gt;=3,"Good",I666&gt;=2,"Average",I666&lt;2,"Poor")</f>
        <v>Excellent</v>
      </c>
      <c r="P666" t="str">
        <f t="shared" si="41"/>
        <v>True</v>
      </c>
      <c r="Q666">
        <f t="shared" si="42"/>
        <v>375295</v>
      </c>
      <c r="R666">
        <v>2023</v>
      </c>
      <c r="X666" t="str">
        <f t="shared" ca="1" si="43"/>
        <v/>
      </c>
    </row>
    <row r="667" spans="1:24" x14ac:dyDescent="0.25">
      <c r="A667" t="s">
        <v>1355</v>
      </c>
      <c r="B667" t="s">
        <v>1356</v>
      </c>
      <c r="C667" t="s">
        <v>17</v>
      </c>
      <c r="D667" t="s">
        <v>18</v>
      </c>
      <c r="E667" s="1">
        <v>44959</v>
      </c>
      <c r="F667" t="s">
        <v>19</v>
      </c>
      <c r="G667">
        <v>5893</v>
      </c>
      <c r="H667">
        <v>55</v>
      </c>
      <c r="I667">
        <v>3.15</v>
      </c>
      <c r="J667">
        <v>8</v>
      </c>
      <c r="M667" t="str">
        <f t="shared" ca="1" si="40"/>
        <v/>
      </c>
      <c r="N667" s="3" t="str" cm="1">
        <f t="array" ref="N667">_xlfn.IFS(I667&gt;=3.5,"Excellent",I667&gt;=3,"Good",I667&gt;=2,"Average",I667&lt;2,"Poor")</f>
        <v>Good</v>
      </c>
      <c r="P667" t="str">
        <f t="shared" si="41"/>
        <v/>
      </c>
      <c r="Q667">
        <f t="shared" si="42"/>
        <v>375295</v>
      </c>
      <c r="R667">
        <v>2023</v>
      </c>
      <c r="X667">
        <f t="shared" ca="1" si="43"/>
        <v>890</v>
      </c>
    </row>
    <row r="668" spans="1:24" x14ac:dyDescent="0.25">
      <c r="A668" t="s">
        <v>1357</v>
      </c>
      <c r="B668" t="s">
        <v>1358</v>
      </c>
      <c r="C668" t="s">
        <v>28</v>
      </c>
      <c r="D668" t="s">
        <v>13</v>
      </c>
      <c r="E668" s="1">
        <v>44753</v>
      </c>
      <c r="F668" t="s">
        <v>14</v>
      </c>
      <c r="G668">
        <v>4330</v>
      </c>
      <c r="H668">
        <v>6146</v>
      </c>
      <c r="I668">
        <v>3.95</v>
      </c>
      <c r="J668">
        <v>81</v>
      </c>
      <c r="M668">
        <f t="shared" ca="1" si="40"/>
        <v>1096</v>
      </c>
      <c r="N668" s="3" t="str" cm="1">
        <f t="array" ref="N668">_xlfn.IFS(I668&gt;=3.5,"Excellent",I668&gt;=3,"Good",I668&gt;=2,"Average",I668&lt;2,"Poor")</f>
        <v>Excellent</v>
      </c>
      <c r="P668" t="str">
        <f t="shared" si="41"/>
        <v>True</v>
      </c>
      <c r="Q668">
        <f t="shared" si="42"/>
        <v>369402</v>
      </c>
      <c r="R668">
        <v>2022</v>
      </c>
      <c r="X668" t="str">
        <f t="shared" ca="1" si="43"/>
        <v/>
      </c>
    </row>
    <row r="669" spans="1:24" x14ac:dyDescent="0.25">
      <c r="A669" t="s">
        <v>1359</v>
      </c>
      <c r="B669" t="s">
        <v>1360</v>
      </c>
      <c r="C669" t="s">
        <v>25</v>
      </c>
      <c r="D669" t="s">
        <v>31</v>
      </c>
      <c r="E669" s="1">
        <v>45195</v>
      </c>
      <c r="F669" t="s">
        <v>14</v>
      </c>
      <c r="G669">
        <v>3810</v>
      </c>
      <c r="H669">
        <v>5081</v>
      </c>
      <c r="I669">
        <v>3.16</v>
      </c>
      <c r="J669">
        <v>66</v>
      </c>
      <c r="M669">
        <f t="shared" ca="1" si="40"/>
        <v>654</v>
      </c>
      <c r="N669" s="3" t="str" cm="1">
        <f t="array" ref="N669">_xlfn.IFS(I669&gt;=3.5,"Excellent",I669&gt;=3,"Good",I669&gt;=2,"Average",I669&lt;2,"Poor")</f>
        <v>Good</v>
      </c>
      <c r="P669" t="str">
        <f t="shared" si="41"/>
        <v>True</v>
      </c>
      <c r="Q669">
        <f t="shared" si="42"/>
        <v>369402</v>
      </c>
      <c r="R669">
        <v>2023</v>
      </c>
      <c r="X669" t="str">
        <f t="shared" ca="1" si="43"/>
        <v/>
      </c>
    </row>
    <row r="670" spans="1:24" x14ac:dyDescent="0.25">
      <c r="A670" t="s">
        <v>1361</v>
      </c>
      <c r="B670" t="s">
        <v>1362</v>
      </c>
      <c r="C670" t="s">
        <v>25</v>
      </c>
      <c r="D670" t="s">
        <v>18</v>
      </c>
      <c r="E670" s="1">
        <v>44856</v>
      </c>
      <c r="F670" t="s">
        <v>19</v>
      </c>
      <c r="G670">
        <v>3315</v>
      </c>
      <c r="H670">
        <v>3738</v>
      </c>
      <c r="I670">
        <v>3.26</v>
      </c>
      <c r="J670">
        <v>117</v>
      </c>
      <c r="M670" t="str">
        <f t="shared" ca="1" si="40"/>
        <v/>
      </c>
      <c r="N670" s="3" t="str" cm="1">
        <f t="array" ref="N670">_xlfn.IFS(I670&gt;=3.5,"Excellent",I670&gt;=3,"Good",I670&gt;=2,"Average",I670&lt;2,"Poor")</f>
        <v>Good</v>
      </c>
      <c r="P670" t="str">
        <f t="shared" si="41"/>
        <v>True</v>
      </c>
      <c r="Q670">
        <f t="shared" si="42"/>
        <v>369402</v>
      </c>
      <c r="R670">
        <v>2022</v>
      </c>
      <c r="X670">
        <f t="shared" ca="1" si="43"/>
        <v>993</v>
      </c>
    </row>
    <row r="671" spans="1:24" x14ac:dyDescent="0.25">
      <c r="A671" t="s">
        <v>1363</v>
      </c>
      <c r="B671" t="s">
        <v>1364</v>
      </c>
      <c r="C671" t="s">
        <v>12</v>
      </c>
      <c r="D671" t="s">
        <v>31</v>
      </c>
      <c r="E671" s="1">
        <v>44600</v>
      </c>
      <c r="F671" t="s">
        <v>19</v>
      </c>
      <c r="G671">
        <v>9949</v>
      </c>
      <c r="H671">
        <v>1090</v>
      </c>
      <c r="I671">
        <v>3.17</v>
      </c>
      <c r="J671">
        <v>54</v>
      </c>
      <c r="M671" t="str">
        <f t="shared" ca="1" si="40"/>
        <v/>
      </c>
      <c r="N671" s="3" t="str" cm="1">
        <f t="array" ref="N671">_xlfn.IFS(I671&gt;=3.5,"Excellent",I671&gt;=3,"Good",I671&gt;=2,"Average",I671&lt;2,"Poor")</f>
        <v>Good</v>
      </c>
      <c r="P671" t="str">
        <f t="shared" si="41"/>
        <v/>
      </c>
      <c r="Q671">
        <f t="shared" si="42"/>
        <v>366087</v>
      </c>
      <c r="R671">
        <v>2022</v>
      </c>
      <c r="X671">
        <f t="shared" ca="1" si="43"/>
        <v>1249</v>
      </c>
    </row>
    <row r="672" spans="1:24" x14ac:dyDescent="0.25">
      <c r="A672" t="s">
        <v>1365</v>
      </c>
      <c r="B672" t="s">
        <v>1366</v>
      </c>
      <c r="C672" t="s">
        <v>25</v>
      </c>
      <c r="D672" t="s">
        <v>13</v>
      </c>
      <c r="E672" s="1">
        <v>45212</v>
      </c>
      <c r="F672" t="s">
        <v>14</v>
      </c>
      <c r="G672">
        <v>2894</v>
      </c>
      <c r="H672">
        <v>8868</v>
      </c>
      <c r="I672">
        <v>3.96</v>
      </c>
      <c r="J672">
        <v>30</v>
      </c>
      <c r="M672">
        <f t="shared" ca="1" si="40"/>
        <v>637</v>
      </c>
      <c r="N672" s="3" t="str" cm="1">
        <f t="array" ref="N672">_xlfn.IFS(I672&gt;=3.5,"Excellent",I672&gt;=3,"Good",I672&gt;=2,"Average",I672&lt;2,"Poor")</f>
        <v>Excellent</v>
      </c>
      <c r="P672" t="str">
        <f t="shared" si="41"/>
        <v>True</v>
      </c>
      <c r="Q672">
        <f t="shared" si="42"/>
        <v>366087</v>
      </c>
      <c r="R672">
        <v>2023</v>
      </c>
      <c r="X672" t="str">
        <f t="shared" ca="1" si="43"/>
        <v/>
      </c>
    </row>
    <row r="673" spans="1:24" x14ac:dyDescent="0.25">
      <c r="A673" t="s">
        <v>1367</v>
      </c>
      <c r="B673" t="s">
        <v>1368</v>
      </c>
      <c r="C673" t="s">
        <v>22</v>
      </c>
      <c r="D673" t="s">
        <v>18</v>
      </c>
      <c r="E673" s="1">
        <v>45071</v>
      </c>
      <c r="F673" t="s">
        <v>39</v>
      </c>
      <c r="G673">
        <v>4013</v>
      </c>
      <c r="H673">
        <v>4029</v>
      </c>
      <c r="I673">
        <v>3.59</v>
      </c>
      <c r="J673">
        <v>6</v>
      </c>
      <c r="M673" t="str">
        <f t="shared" ca="1" si="40"/>
        <v/>
      </c>
      <c r="N673" s="3" t="str" cm="1">
        <f t="array" ref="N673">_xlfn.IFS(I673&gt;=3.5,"Excellent",I673&gt;=3,"Good",I673&gt;=2,"Average",I673&lt;2,"Poor")</f>
        <v>Excellent</v>
      </c>
      <c r="P673" t="str">
        <f t="shared" si="41"/>
        <v>True</v>
      </c>
      <c r="Q673">
        <f t="shared" si="42"/>
        <v>366087</v>
      </c>
      <c r="R673">
        <v>2023</v>
      </c>
      <c r="X673" t="str">
        <f t="shared" ca="1" si="43"/>
        <v/>
      </c>
    </row>
    <row r="674" spans="1:24" x14ac:dyDescent="0.25">
      <c r="A674" t="s">
        <v>1369</v>
      </c>
      <c r="B674" t="s">
        <v>1370</v>
      </c>
      <c r="C674" t="s">
        <v>22</v>
      </c>
      <c r="D674" t="s">
        <v>31</v>
      </c>
      <c r="E674" s="1">
        <v>44640</v>
      </c>
      <c r="F674" t="s">
        <v>19</v>
      </c>
      <c r="G674">
        <v>5273</v>
      </c>
      <c r="H674">
        <v>9237</v>
      </c>
      <c r="I674">
        <v>2.59</v>
      </c>
      <c r="J674">
        <v>95</v>
      </c>
      <c r="M674" t="str">
        <f t="shared" ca="1" si="40"/>
        <v/>
      </c>
      <c r="N674" s="3" t="str" cm="1">
        <f t="array" ref="N674">_xlfn.IFS(I674&gt;=3.5,"Excellent",I674&gt;=3,"Good",I674&gt;=2,"Average",I674&lt;2,"Poor")</f>
        <v>Average</v>
      </c>
      <c r="P674" t="str">
        <f t="shared" si="41"/>
        <v>True</v>
      </c>
      <c r="Q674">
        <f t="shared" si="42"/>
        <v>366087</v>
      </c>
      <c r="R674">
        <v>2022</v>
      </c>
      <c r="X674">
        <f t="shared" ca="1" si="43"/>
        <v>1209</v>
      </c>
    </row>
    <row r="675" spans="1:24" x14ac:dyDescent="0.25">
      <c r="A675" t="s">
        <v>1371</v>
      </c>
      <c r="B675" t="s">
        <v>1372</v>
      </c>
      <c r="C675" t="s">
        <v>54</v>
      </c>
      <c r="D675" t="s">
        <v>18</v>
      </c>
      <c r="E675" s="1">
        <v>45190</v>
      </c>
      <c r="F675" t="s">
        <v>14</v>
      </c>
      <c r="G675">
        <v>10298</v>
      </c>
      <c r="H675">
        <v>1382</v>
      </c>
      <c r="I675">
        <v>2.67</v>
      </c>
      <c r="J675">
        <v>88</v>
      </c>
      <c r="M675">
        <f t="shared" ca="1" si="40"/>
        <v>659</v>
      </c>
      <c r="N675" s="3" t="str" cm="1">
        <f t="array" ref="N675">_xlfn.IFS(I675&gt;=3.5,"Excellent",I675&gt;=3,"Good",I675&gt;=2,"Average",I675&lt;2,"Poor")</f>
        <v>Average</v>
      </c>
      <c r="P675" t="str">
        <f t="shared" si="41"/>
        <v/>
      </c>
      <c r="Q675">
        <f t="shared" si="42"/>
        <v>366087</v>
      </c>
      <c r="R675">
        <v>2023</v>
      </c>
      <c r="X675" t="str">
        <f t="shared" ca="1" si="43"/>
        <v/>
      </c>
    </row>
    <row r="676" spans="1:24" x14ac:dyDescent="0.25">
      <c r="A676" t="s">
        <v>1373</v>
      </c>
      <c r="B676" t="s">
        <v>1374</v>
      </c>
      <c r="C676" t="s">
        <v>36</v>
      </c>
      <c r="D676" t="s">
        <v>13</v>
      </c>
      <c r="E676" s="1">
        <v>44599</v>
      </c>
      <c r="F676" t="s">
        <v>14</v>
      </c>
      <c r="G676">
        <v>9592</v>
      </c>
      <c r="H676">
        <v>944</v>
      </c>
      <c r="I676">
        <v>2.1</v>
      </c>
      <c r="J676">
        <v>71</v>
      </c>
      <c r="M676">
        <f t="shared" ca="1" si="40"/>
        <v>1250</v>
      </c>
      <c r="N676" s="3" t="str" cm="1">
        <f t="array" ref="N676">_xlfn.IFS(I676&gt;=3.5,"Excellent",I676&gt;=3,"Good",I676&gt;=2,"Average",I676&lt;2,"Poor")</f>
        <v>Average</v>
      </c>
      <c r="P676" t="str">
        <f t="shared" si="41"/>
        <v/>
      </c>
      <c r="Q676">
        <f t="shared" si="42"/>
        <v>366087</v>
      </c>
      <c r="R676">
        <v>2022</v>
      </c>
      <c r="X676" t="str">
        <f t="shared" ca="1" si="43"/>
        <v/>
      </c>
    </row>
    <row r="677" spans="1:24" x14ac:dyDescent="0.25">
      <c r="A677" t="s">
        <v>1375</v>
      </c>
      <c r="B677" t="s">
        <v>1376</v>
      </c>
      <c r="C677" t="s">
        <v>36</v>
      </c>
      <c r="D677" t="s">
        <v>13</v>
      </c>
      <c r="E677" s="1">
        <v>44817</v>
      </c>
      <c r="F677" t="s">
        <v>14</v>
      </c>
      <c r="G677">
        <v>12383</v>
      </c>
      <c r="H677">
        <v>6864</v>
      </c>
      <c r="I677">
        <v>2.78</v>
      </c>
      <c r="J677">
        <v>38</v>
      </c>
      <c r="M677">
        <f t="shared" ca="1" si="40"/>
        <v>1032</v>
      </c>
      <c r="N677" s="3" t="str" cm="1">
        <f t="array" ref="N677">_xlfn.IFS(I677&gt;=3.5,"Excellent",I677&gt;=3,"Good",I677&gt;=2,"Average",I677&lt;2,"Poor")</f>
        <v>Average</v>
      </c>
      <c r="P677" t="str">
        <f t="shared" si="41"/>
        <v>True</v>
      </c>
      <c r="Q677">
        <f t="shared" si="42"/>
        <v>366087</v>
      </c>
      <c r="R677">
        <v>2022</v>
      </c>
      <c r="X677" t="str">
        <f t="shared" ca="1" si="43"/>
        <v/>
      </c>
    </row>
    <row r="678" spans="1:24" x14ac:dyDescent="0.25">
      <c r="A678" t="s">
        <v>1377</v>
      </c>
      <c r="B678" t="s">
        <v>1378</v>
      </c>
      <c r="C678" t="s">
        <v>25</v>
      </c>
      <c r="D678" t="s">
        <v>62</v>
      </c>
      <c r="E678" s="1">
        <v>44783</v>
      </c>
      <c r="F678" t="s">
        <v>14</v>
      </c>
      <c r="G678">
        <v>10703</v>
      </c>
      <c r="H678">
        <v>1138</v>
      </c>
      <c r="I678">
        <v>3.49</v>
      </c>
      <c r="J678">
        <v>107</v>
      </c>
      <c r="M678">
        <f t="shared" ca="1" si="40"/>
        <v>1066</v>
      </c>
      <c r="N678" s="3" t="str" cm="1">
        <f t="array" ref="N678">_xlfn.IFS(I678&gt;=3.5,"Excellent",I678&gt;=3,"Good",I678&gt;=2,"Average",I678&lt;2,"Poor")</f>
        <v>Good</v>
      </c>
      <c r="P678" t="str">
        <f t="shared" si="41"/>
        <v/>
      </c>
      <c r="Q678">
        <f t="shared" si="42"/>
        <v>366087</v>
      </c>
      <c r="R678">
        <v>2022</v>
      </c>
      <c r="X678" t="str">
        <f t="shared" ca="1" si="43"/>
        <v/>
      </c>
    </row>
    <row r="679" spans="1:24" x14ac:dyDescent="0.25">
      <c r="A679" t="s">
        <v>1379</v>
      </c>
      <c r="B679" t="s">
        <v>1380</v>
      </c>
      <c r="C679" t="s">
        <v>36</v>
      </c>
      <c r="D679" t="s">
        <v>13</v>
      </c>
      <c r="E679" s="1">
        <v>44990</v>
      </c>
      <c r="F679" t="s">
        <v>14</v>
      </c>
      <c r="G679">
        <v>12060</v>
      </c>
      <c r="H679">
        <v>6306</v>
      </c>
      <c r="I679">
        <v>3.77</v>
      </c>
      <c r="J679">
        <v>48</v>
      </c>
      <c r="M679">
        <f t="shared" ca="1" si="40"/>
        <v>859</v>
      </c>
      <c r="N679" s="3" t="str" cm="1">
        <f t="array" ref="N679">_xlfn.IFS(I679&gt;=3.5,"Excellent",I679&gt;=3,"Good",I679&gt;=2,"Average",I679&lt;2,"Poor")</f>
        <v>Excellent</v>
      </c>
      <c r="P679" t="str">
        <f t="shared" si="41"/>
        <v>True</v>
      </c>
      <c r="Q679">
        <f t="shared" si="42"/>
        <v>366087</v>
      </c>
      <c r="R679">
        <v>2023</v>
      </c>
      <c r="X679" t="str">
        <f t="shared" ca="1" si="43"/>
        <v/>
      </c>
    </row>
    <row r="680" spans="1:24" x14ac:dyDescent="0.25">
      <c r="A680" t="s">
        <v>1381</v>
      </c>
      <c r="B680" t="s">
        <v>1382</v>
      </c>
      <c r="C680" t="s">
        <v>57</v>
      </c>
      <c r="D680" t="s">
        <v>62</v>
      </c>
      <c r="E680" s="1">
        <v>45460</v>
      </c>
      <c r="F680" t="s">
        <v>14</v>
      </c>
      <c r="G680">
        <v>5192</v>
      </c>
      <c r="H680">
        <v>7911</v>
      </c>
      <c r="I680">
        <v>2.4700000000000002</v>
      </c>
      <c r="J680">
        <v>88</v>
      </c>
      <c r="M680">
        <f t="shared" ca="1" si="40"/>
        <v>389</v>
      </c>
      <c r="N680" s="3" t="str" cm="1">
        <f t="array" ref="N680">_xlfn.IFS(I680&gt;=3.5,"Excellent",I680&gt;=3,"Good",I680&gt;=2,"Average",I680&lt;2,"Poor")</f>
        <v>Average</v>
      </c>
      <c r="P680" t="str">
        <f t="shared" si="41"/>
        <v>True</v>
      </c>
      <c r="Q680">
        <f t="shared" si="42"/>
        <v>366087</v>
      </c>
      <c r="R680">
        <v>2024</v>
      </c>
      <c r="X680" t="str">
        <f t="shared" ca="1" si="43"/>
        <v/>
      </c>
    </row>
    <row r="681" spans="1:24" x14ac:dyDescent="0.25">
      <c r="A681" t="s">
        <v>1383</v>
      </c>
      <c r="B681" t="s">
        <v>1384</v>
      </c>
      <c r="C681" t="s">
        <v>28</v>
      </c>
      <c r="D681" t="s">
        <v>31</v>
      </c>
      <c r="E681" s="1">
        <v>44636</v>
      </c>
      <c r="F681" t="s">
        <v>14</v>
      </c>
      <c r="G681">
        <v>3356</v>
      </c>
      <c r="H681">
        <v>4096</v>
      </c>
      <c r="I681">
        <v>2.74</v>
      </c>
      <c r="J681">
        <v>98</v>
      </c>
      <c r="M681">
        <f t="shared" ca="1" si="40"/>
        <v>1213</v>
      </c>
      <c r="N681" s="3" t="str" cm="1">
        <f t="array" ref="N681">_xlfn.IFS(I681&gt;=3.5,"Excellent",I681&gt;=3,"Good",I681&gt;=2,"Average",I681&lt;2,"Poor")</f>
        <v>Average</v>
      </c>
      <c r="P681" t="str">
        <f t="shared" si="41"/>
        <v>True</v>
      </c>
      <c r="Q681">
        <f t="shared" si="42"/>
        <v>366087</v>
      </c>
      <c r="R681">
        <v>2022</v>
      </c>
      <c r="X681" t="str">
        <f t="shared" ca="1" si="43"/>
        <v/>
      </c>
    </row>
    <row r="682" spans="1:24" x14ac:dyDescent="0.25">
      <c r="A682" t="s">
        <v>1385</v>
      </c>
      <c r="B682" t="s">
        <v>1386</v>
      </c>
      <c r="C682" t="s">
        <v>17</v>
      </c>
      <c r="D682" t="s">
        <v>31</v>
      </c>
      <c r="E682" s="1">
        <v>45002</v>
      </c>
      <c r="F682" t="s">
        <v>19</v>
      </c>
      <c r="G682">
        <v>6141</v>
      </c>
      <c r="H682">
        <v>1714</v>
      </c>
      <c r="I682">
        <v>2.58</v>
      </c>
      <c r="J682">
        <v>100</v>
      </c>
      <c r="M682" t="str">
        <f t="shared" ca="1" si="40"/>
        <v/>
      </c>
      <c r="N682" s="3" t="str" cm="1">
        <f t="array" ref="N682">_xlfn.IFS(I682&gt;=3.5,"Excellent",I682&gt;=3,"Good",I682&gt;=2,"Average",I682&lt;2,"Poor")</f>
        <v>Average</v>
      </c>
      <c r="P682" t="str">
        <f t="shared" si="41"/>
        <v/>
      </c>
      <c r="Q682">
        <f t="shared" si="42"/>
        <v>366087</v>
      </c>
      <c r="R682">
        <v>2023</v>
      </c>
      <c r="X682">
        <f t="shared" ca="1" si="43"/>
        <v>847</v>
      </c>
    </row>
    <row r="683" spans="1:24" x14ac:dyDescent="0.25">
      <c r="A683" t="s">
        <v>1387</v>
      </c>
      <c r="B683" t="s">
        <v>1388</v>
      </c>
      <c r="C683" t="s">
        <v>12</v>
      </c>
      <c r="D683" t="s">
        <v>18</v>
      </c>
      <c r="E683" s="1">
        <v>45389</v>
      </c>
      <c r="F683" t="s">
        <v>14</v>
      </c>
      <c r="G683">
        <v>5110</v>
      </c>
      <c r="H683">
        <v>1350</v>
      </c>
      <c r="I683">
        <v>3.06</v>
      </c>
      <c r="J683">
        <v>77</v>
      </c>
      <c r="M683">
        <f t="shared" ca="1" si="40"/>
        <v>460</v>
      </c>
      <c r="N683" s="3" t="str" cm="1">
        <f t="array" ref="N683">_xlfn.IFS(I683&gt;=3.5,"Excellent",I683&gt;=3,"Good",I683&gt;=2,"Average",I683&lt;2,"Poor")</f>
        <v>Good</v>
      </c>
      <c r="P683" t="str">
        <f t="shared" si="41"/>
        <v/>
      </c>
      <c r="Q683">
        <f t="shared" si="42"/>
        <v>366087</v>
      </c>
      <c r="R683">
        <v>2024</v>
      </c>
      <c r="X683" t="str">
        <f t="shared" ca="1" si="43"/>
        <v/>
      </c>
    </row>
    <row r="684" spans="1:24" x14ac:dyDescent="0.25">
      <c r="A684" t="s">
        <v>1389</v>
      </c>
      <c r="B684" t="s">
        <v>1390</v>
      </c>
      <c r="C684" t="s">
        <v>28</v>
      </c>
      <c r="D684" t="s">
        <v>18</v>
      </c>
      <c r="E684" s="1">
        <v>45340</v>
      </c>
      <c r="F684" t="s">
        <v>14</v>
      </c>
      <c r="G684">
        <v>10080</v>
      </c>
      <c r="H684">
        <v>4930</v>
      </c>
      <c r="I684">
        <v>3.17</v>
      </c>
      <c r="J684">
        <v>73</v>
      </c>
      <c r="M684">
        <f t="shared" ca="1" si="40"/>
        <v>509</v>
      </c>
      <c r="N684" s="3" t="str" cm="1">
        <f t="array" ref="N684">_xlfn.IFS(I684&gt;=3.5,"Excellent",I684&gt;=3,"Good",I684&gt;=2,"Average",I684&lt;2,"Poor")</f>
        <v>Good</v>
      </c>
      <c r="P684" t="str">
        <f t="shared" si="41"/>
        <v/>
      </c>
      <c r="Q684">
        <f t="shared" si="42"/>
        <v>366087</v>
      </c>
      <c r="R684">
        <v>2024</v>
      </c>
      <c r="X684" t="str">
        <f t="shared" ca="1" si="43"/>
        <v/>
      </c>
    </row>
    <row r="685" spans="1:24" x14ac:dyDescent="0.25">
      <c r="A685" t="s">
        <v>1391</v>
      </c>
      <c r="B685" t="s">
        <v>1392</v>
      </c>
      <c r="C685" t="s">
        <v>17</v>
      </c>
      <c r="D685" t="s">
        <v>18</v>
      </c>
      <c r="E685" s="1">
        <v>44596</v>
      </c>
      <c r="F685" t="s">
        <v>14</v>
      </c>
      <c r="G685">
        <v>7513</v>
      </c>
      <c r="H685">
        <v>1653</v>
      </c>
      <c r="I685">
        <v>3.05</v>
      </c>
      <c r="J685">
        <v>73</v>
      </c>
      <c r="M685">
        <f t="shared" ca="1" si="40"/>
        <v>1253</v>
      </c>
      <c r="N685" s="3" t="str" cm="1">
        <f t="array" ref="N685">_xlfn.IFS(I685&gt;=3.5,"Excellent",I685&gt;=3,"Good",I685&gt;=2,"Average",I685&lt;2,"Poor")</f>
        <v>Good</v>
      </c>
      <c r="P685" t="str">
        <f t="shared" si="41"/>
        <v/>
      </c>
      <c r="Q685">
        <f t="shared" si="42"/>
        <v>366087</v>
      </c>
      <c r="R685">
        <v>2022</v>
      </c>
      <c r="X685" t="str">
        <f t="shared" ca="1" si="43"/>
        <v/>
      </c>
    </row>
    <row r="686" spans="1:24" x14ac:dyDescent="0.25">
      <c r="A686" t="s">
        <v>1393</v>
      </c>
      <c r="B686" t="s">
        <v>1394</v>
      </c>
      <c r="C686" t="s">
        <v>28</v>
      </c>
      <c r="D686" t="s">
        <v>18</v>
      </c>
      <c r="E686" s="1">
        <v>45285</v>
      </c>
      <c r="F686" t="s">
        <v>14</v>
      </c>
      <c r="G686">
        <v>8227</v>
      </c>
      <c r="H686">
        <v>4734</v>
      </c>
      <c r="I686">
        <v>3.1</v>
      </c>
      <c r="J686">
        <v>50</v>
      </c>
      <c r="M686">
        <f t="shared" ca="1" si="40"/>
        <v>564</v>
      </c>
      <c r="N686" s="3" t="str" cm="1">
        <f t="array" ref="N686">_xlfn.IFS(I686&gt;=3.5,"Excellent",I686&gt;=3,"Good",I686&gt;=2,"Average",I686&lt;2,"Poor")</f>
        <v>Good</v>
      </c>
      <c r="P686" t="str">
        <f t="shared" si="41"/>
        <v>True</v>
      </c>
      <c r="Q686">
        <f t="shared" si="42"/>
        <v>366087</v>
      </c>
      <c r="R686">
        <v>2023</v>
      </c>
      <c r="X686" t="str">
        <f t="shared" ca="1" si="43"/>
        <v/>
      </c>
    </row>
    <row r="687" spans="1:24" x14ac:dyDescent="0.25">
      <c r="A687" t="s">
        <v>1395</v>
      </c>
      <c r="B687" t="s">
        <v>1396</v>
      </c>
      <c r="C687" t="s">
        <v>54</v>
      </c>
      <c r="D687" t="s">
        <v>13</v>
      </c>
      <c r="E687" s="1">
        <v>45285</v>
      </c>
      <c r="F687" t="s">
        <v>14</v>
      </c>
      <c r="G687">
        <v>13129</v>
      </c>
      <c r="H687">
        <v>7800</v>
      </c>
      <c r="I687">
        <v>3.5</v>
      </c>
      <c r="J687">
        <v>116</v>
      </c>
      <c r="M687">
        <f t="shared" ca="1" si="40"/>
        <v>564</v>
      </c>
      <c r="N687" s="3" t="str" cm="1">
        <f t="array" ref="N687">_xlfn.IFS(I687&gt;=3.5,"Excellent",I687&gt;=3,"Good",I687&gt;=2,"Average",I687&lt;2,"Poor")</f>
        <v>Excellent</v>
      </c>
      <c r="P687" t="str">
        <f t="shared" si="41"/>
        <v>True</v>
      </c>
      <c r="Q687">
        <f t="shared" si="42"/>
        <v>366087</v>
      </c>
      <c r="R687">
        <v>2023</v>
      </c>
      <c r="X687" t="str">
        <f t="shared" ca="1" si="43"/>
        <v/>
      </c>
    </row>
    <row r="688" spans="1:24" x14ac:dyDescent="0.25">
      <c r="A688" t="s">
        <v>1397</v>
      </c>
      <c r="B688" t="s">
        <v>1398</v>
      </c>
      <c r="C688" t="s">
        <v>28</v>
      </c>
      <c r="D688" t="s">
        <v>18</v>
      </c>
      <c r="E688" s="1">
        <v>44905</v>
      </c>
      <c r="F688" t="s">
        <v>39</v>
      </c>
      <c r="G688">
        <v>10408</v>
      </c>
      <c r="H688">
        <v>1245</v>
      </c>
      <c r="I688">
        <v>2.78</v>
      </c>
      <c r="J688">
        <v>72</v>
      </c>
      <c r="M688" t="str">
        <f t="shared" ca="1" si="40"/>
        <v/>
      </c>
      <c r="N688" s="3" t="str" cm="1">
        <f t="array" ref="N688">_xlfn.IFS(I688&gt;=3.5,"Excellent",I688&gt;=3,"Good",I688&gt;=2,"Average",I688&lt;2,"Poor")</f>
        <v>Average</v>
      </c>
      <c r="P688" t="str">
        <f t="shared" si="41"/>
        <v/>
      </c>
      <c r="Q688">
        <f t="shared" si="42"/>
        <v>366087</v>
      </c>
      <c r="R688">
        <v>2022</v>
      </c>
      <c r="X688" t="str">
        <f t="shared" ca="1" si="43"/>
        <v/>
      </c>
    </row>
    <row r="689" spans="1:24" x14ac:dyDescent="0.25">
      <c r="A689" t="s">
        <v>1399</v>
      </c>
      <c r="B689" t="s">
        <v>1400</v>
      </c>
      <c r="C689" t="s">
        <v>28</v>
      </c>
      <c r="D689" t="s">
        <v>13</v>
      </c>
      <c r="E689" s="1">
        <v>45216</v>
      </c>
      <c r="F689" t="s">
        <v>19</v>
      </c>
      <c r="G689">
        <v>7270</v>
      </c>
      <c r="H689">
        <v>4035</v>
      </c>
      <c r="I689">
        <v>2.2000000000000002</v>
      </c>
      <c r="J689">
        <v>10</v>
      </c>
      <c r="M689" t="str">
        <f t="shared" ca="1" si="40"/>
        <v/>
      </c>
      <c r="N689" s="3" t="str" cm="1">
        <f t="array" ref="N689">_xlfn.IFS(I689&gt;=3.5,"Excellent",I689&gt;=3,"Good",I689&gt;=2,"Average",I689&lt;2,"Poor")</f>
        <v>Average</v>
      </c>
      <c r="P689" t="str">
        <f t="shared" si="41"/>
        <v>True</v>
      </c>
      <c r="Q689">
        <f t="shared" si="42"/>
        <v>366087</v>
      </c>
      <c r="R689">
        <v>2023</v>
      </c>
      <c r="X689">
        <f t="shared" ca="1" si="43"/>
        <v>633</v>
      </c>
    </row>
    <row r="690" spans="1:24" x14ac:dyDescent="0.25">
      <c r="A690" t="s">
        <v>1401</v>
      </c>
      <c r="B690" t="s">
        <v>1402</v>
      </c>
      <c r="C690" t="s">
        <v>36</v>
      </c>
      <c r="D690" t="s">
        <v>18</v>
      </c>
      <c r="E690" s="1">
        <v>44648</v>
      </c>
      <c r="F690" t="s">
        <v>14</v>
      </c>
      <c r="G690">
        <v>2730</v>
      </c>
      <c r="H690">
        <v>6097</v>
      </c>
      <c r="I690">
        <v>2.09</v>
      </c>
      <c r="J690">
        <v>70</v>
      </c>
      <c r="M690">
        <f t="shared" ca="1" si="40"/>
        <v>1201</v>
      </c>
      <c r="N690" s="3" t="str" cm="1">
        <f t="array" ref="N690">_xlfn.IFS(I690&gt;=3.5,"Excellent",I690&gt;=3,"Good",I690&gt;=2,"Average",I690&lt;2,"Poor")</f>
        <v>Average</v>
      </c>
      <c r="P690" t="str">
        <f t="shared" si="41"/>
        <v>True</v>
      </c>
      <c r="Q690">
        <f t="shared" si="42"/>
        <v>366087</v>
      </c>
      <c r="R690">
        <v>2022</v>
      </c>
      <c r="X690" t="str">
        <f t="shared" ca="1" si="43"/>
        <v/>
      </c>
    </row>
    <row r="691" spans="1:24" x14ac:dyDescent="0.25">
      <c r="A691" t="s">
        <v>1403</v>
      </c>
      <c r="B691" t="s">
        <v>1404</v>
      </c>
      <c r="C691" t="s">
        <v>28</v>
      </c>
      <c r="D691" t="s">
        <v>18</v>
      </c>
      <c r="E691" s="1">
        <v>44715</v>
      </c>
      <c r="F691" t="s">
        <v>19</v>
      </c>
      <c r="G691">
        <v>11096</v>
      </c>
      <c r="H691">
        <v>3961</v>
      </c>
      <c r="I691">
        <v>3.9</v>
      </c>
      <c r="J691">
        <v>48</v>
      </c>
      <c r="M691" t="str">
        <f t="shared" ca="1" si="40"/>
        <v/>
      </c>
      <c r="N691" s="3" t="str" cm="1">
        <f t="array" ref="N691">_xlfn.IFS(I691&gt;=3.5,"Excellent",I691&gt;=3,"Good",I691&gt;=2,"Average",I691&lt;2,"Poor")</f>
        <v>Excellent</v>
      </c>
      <c r="P691" t="str">
        <f t="shared" si="41"/>
        <v/>
      </c>
      <c r="Q691">
        <f t="shared" si="42"/>
        <v>366087</v>
      </c>
      <c r="R691">
        <v>2022</v>
      </c>
      <c r="X691">
        <f t="shared" ca="1" si="43"/>
        <v>1134</v>
      </c>
    </row>
    <row r="692" spans="1:24" x14ac:dyDescent="0.25">
      <c r="A692" t="s">
        <v>1405</v>
      </c>
      <c r="B692" t="s">
        <v>1406</v>
      </c>
      <c r="C692" t="s">
        <v>36</v>
      </c>
      <c r="D692" t="s">
        <v>18</v>
      </c>
      <c r="E692" s="1">
        <v>45362</v>
      </c>
      <c r="F692" t="s">
        <v>19</v>
      </c>
      <c r="G692">
        <v>14406</v>
      </c>
      <c r="H692">
        <v>3386</v>
      </c>
      <c r="I692">
        <v>3.04</v>
      </c>
      <c r="J692">
        <v>109</v>
      </c>
      <c r="M692" t="str">
        <f t="shared" ca="1" si="40"/>
        <v/>
      </c>
      <c r="N692" s="3" t="str" cm="1">
        <f t="array" ref="N692">_xlfn.IFS(I692&gt;=3.5,"Excellent",I692&gt;=3,"Good",I692&gt;=2,"Average",I692&lt;2,"Poor")</f>
        <v>Good</v>
      </c>
      <c r="P692" t="str">
        <f t="shared" si="41"/>
        <v/>
      </c>
      <c r="Q692">
        <f t="shared" si="42"/>
        <v>354991</v>
      </c>
      <c r="R692">
        <v>2024</v>
      </c>
      <c r="X692">
        <f t="shared" ca="1" si="43"/>
        <v>487</v>
      </c>
    </row>
    <row r="693" spans="1:24" x14ac:dyDescent="0.25">
      <c r="A693" t="s">
        <v>1407</v>
      </c>
      <c r="B693" t="s">
        <v>1408</v>
      </c>
      <c r="C693" t="s">
        <v>17</v>
      </c>
      <c r="D693" t="s">
        <v>31</v>
      </c>
      <c r="E693" s="1">
        <v>45251</v>
      </c>
      <c r="F693" t="s">
        <v>19</v>
      </c>
      <c r="G693">
        <v>11296</v>
      </c>
      <c r="H693">
        <v>6755</v>
      </c>
      <c r="I693">
        <v>2.86</v>
      </c>
      <c r="J693">
        <v>112</v>
      </c>
      <c r="M693" t="str">
        <f t="shared" ca="1" si="40"/>
        <v/>
      </c>
      <c r="N693" s="3" t="str" cm="1">
        <f t="array" ref="N693">_xlfn.IFS(I693&gt;=3.5,"Excellent",I693&gt;=3,"Good",I693&gt;=2,"Average",I693&lt;2,"Poor")</f>
        <v>Average</v>
      </c>
      <c r="P693" t="str">
        <f t="shared" si="41"/>
        <v>True</v>
      </c>
      <c r="Q693">
        <f t="shared" si="42"/>
        <v>340585</v>
      </c>
      <c r="R693">
        <v>2023</v>
      </c>
      <c r="X693">
        <f t="shared" ca="1" si="43"/>
        <v>598</v>
      </c>
    </row>
    <row r="694" spans="1:24" x14ac:dyDescent="0.25">
      <c r="A694" t="s">
        <v>1409</v>
      </c>
      <c r="B694" t="s">
        <v>1410</v>
      </c>
      <c r="C694" t="s">
        <v>25</v>
      </c>
      <c r="D694" t="s">
        <v>18</v>
      </c>
      <c r="E694" s="1">
        <v>45220</v>
      </c>
      <c r="F694" t="s">
        <v>39</v>
      </c>
      <c r="G694">
        <v>12851</v>
      </c>
      <c r="H694">
        <v>8600</v>
      </c>
      <c r="I694">
        <v>3.36</v>
      </c>
      <c r="J694">
        <v>15</v>
      </c>
      <c r="M694" t="str">
        <f t="shared" ca="1" si="40"/>
        <v/>
      </c>
      <c r="N694" s="3" t="str" cm="1">
        <f t="array" ref="N694">_xlfn.IFS(I694&gt;=3.5,"Excellent",I694&gt;=3,"Good",I694&gt;=2,"Average",I694&lt;2,"Poor")</f>
        <v>Good</v>
      </c>
      <c r="P694" t="str">
        <f t="shared" si="41"/>
        <v>True</v>
      </c>
      <c r="Q694">
        <f t="shared" si="42"/>
        <v>340585</v>
      </c>
      <c r="R694">
        <v>2023</v>
      </c>
      <c r="X694" t="str">
        <f t="shared" ca="1" si="43"/>
        <v/>
      </c>
    </row>
    <row r="695" spans="1:24" x14ac:dyDescent="0.25">
      <c r="A695" t="s">
        <v>1411</v>
      </c>
      <c r="B695" t="s">
        <v>1412</v>
      </c>
      <c r="C695" t="s">
        <v>36</v>
      </c>
      <c r="D695" t="s">
        <v>31</v>
      </c>
      <c r="E695" s="1">
        <v>45134</v>
      </c>
      <c r="F695" t="s">
        <v>19</v>
      </c>
      <c r="G695">
        <v>6804</v>
      </c>
      <c r="H695">
        <v>4521</v>
      </c>
      <c r="I695">
        <v>3.77</v>
      </c>
      <c r="J695">
        <v>2</v>
      </c>
      <c r="M695" t="str">
        <f t="shared" ca="1" si="40"/>
        <v/>
      </c>
      <c r="N695" s="3" t="str" cm="1">
        <f t="array" ref="N695">_xlfn.IFS(I695&gt;=3.5,"Excellent",I695&gt;=3,"Good",I695&gt;=2,"Average",I695&lt;2,"Poor")</f>
        <v>Excellent</v>
      </c>
      <c r="P695" t="str">
        <f t="shared" si="41"/>
        <v>True</v>
      </c>
      <c r="Q695">
        <f t="shared" si="42"/>
        <v>340585</v>
      </c>
      <c r="R695">
        <v>2023</v>
      </c>
      <c r="X695">
        <f t="shared" ca="1" si="43"/>
        <v>715</v>
      </c>
    </row>
    <row r="696" spans="1:24" x14ac:dyDescent="0.25">
      <c r="A696" t="s">
        <v>1413</v>
      </c>
      <c r="B696" t="s">
        <v>1414</v>
      </c>
      <c r="C696" t="s">
        <v>25</v>
      </c>
      <c r="D696" t="s">
        <v>62</v>
      </c>
      <c r="E696" s="1">
        <v>44637</v>
      </c>
      <c r="F696" t="s">
        <v>14</v>
      </c>
      <c r="G696">
        <v>3504</v>
      </c>
      <c r="H696">
        <v>7053</v>
      </c>
      <c r="I696">
        <v>2.31</v>
      </c>
      <c r="J696">
        <v>101</v>
      </c>
      <c r="M696">
        <f t="shared" ca="1" si="40"/>
        <v>1212</v>
      </c>
      <c r="N696" s="3" t="str" cm="1">
        <f t="array" ref="N696">_xlfn.IFS(I696&gt;=3.5,"Excellent",I696&gt;=3,"Good",I696&gt;=2,"Average",I696&lt;2,"Poor")</f>
        <v>Average</v>
      </c>
      <c r="P696" t="str">
        <f t="shared" si="41"/>
        <v>True</v>
      </c>
      <c r="Q696">
        <f t="shared" si="42"/>
        <v>340585</v>
      </c>
      <c r="R696">
        <v>2022</v>
      </c>
      <c r="X696" t="str">
        <f t="shared" ca="1" si="43"/>
        <v/>
      </c>
    </row>
    <row r="697" spans="1:24" x14ac:dyDescent="0.25">
      <c r="A697" t="s">
        <v>1415</v>
      </c>
      <c r="B697" t="s">
        <v>1416</v>
      </c>
      <c r="C697" t="s">
        <v>54</v>
      </c>
      <c r="D697" t="s">
        <v>31</v>
      </c>
      <c r="E697" s="1">
        <v>44874</v>
      </c>
      <c r="F697" t="s">
        <v>19</v>
      </c>
      <c r="G697">
        <v>13244</v>
      </c>
      <c r="H697">
        <v>5499</v>
      </c>
      <c r="I697">
        <v>2.0299999999999998</v>
      </c>
      <c r="J697">
        <v>44</v>
      </c>
      <c r="M697" t="str">
        <f t="shared" ca="1" si="40"/>
        <v/>
      </c>
      <c r="N697" s="3" t="str" cm="1">
        <f t="array" ref="N697">_xlfn.IFS(I697&gt;=3.5,"Excellent",I697&gt;=3,"Good",I697&gt;=2,"Average",I697&lt;2,"Poor")</f>
        <v>Average</v>
      </c>
      <c r="P697" t="str">
        <f t="shared" si="41"/>
        <v/>
      </c>
      <c r="Q697">
        <f t="shared" si="42"/>
        <v>340585</v>
      </c>
      <c r="R697">
        <v>2022</v>
      </c>
      <c r="X697">
        <f t="shared" ca="1" si="43"/>
        <v>975</v>
      </c>
    </row>
    <row r="698" spans="1:24" x14ac:dyDescent="0.25">
      <c r="A698" t="s">
        <v>1417</v>
      </c>
      <c r="B698" t="s">
        <v>1418</v>
      </c>
      <c r="C698" t="s">
        <v>12</v>
      </c>
      <c r="D698" t="s">
        <v>18</v>
      </c>
      <c r="E698" s="1">
        <v>44897</v>
      </c>
      <c r="F698" t="s">
        <v>19</v>
      </c>
      <c r="G698">
        <v>14717</v>
      </c>
      <c r="H698">
        <v>290</v>
      </c>
      <c r="I698">
        <v>3.78</v>
      </c>
      <c r="J698">
        <v>97</v>
      </c>
      <c r="M698" t="str">
        <f t="shared" ca="1" si="40"/>
        <v/>
      </c>
      <c r="N698" s="3" t="str" cm="1">
        <f t="array" ref="N698">_xlfn.IFS(I698&gt;=3.5,"Excellent",I698&gt;=3,"Good",I698&gt;=2,"Average",I698&lt;2,"Poor")</f>
        <v>Excellent</v>
      </c>
      <c r="P698" t="str">
        <f t="shared" si="41"/>
        <v/>
      </c>
      <c r="Q698">
        <f t="shared" si="42"/>
        <v>340585</v>
      </c>
      <c r="R698">
        <v>2022</v>
      </c>
      <c r="X698">
        <f t="shared" ca="1" si="43"/>
        <v>952</v>
      </c>
    </row>
    <row r="699" spans="1:24" x14ac:dyDescent="0.25">
      <c r="A699" t="s">
        <v>1419</v>
      </c>
      <c r="B699" t="s">
        <v>1420</v>
      </c>
      <c r="C699" t="s">
        <v>57</v>
      </c>
      <c r="D699" t="s">
        <v>18</v>
      </c>
      <c r="E699" s="1">
        <v>45244</v>
      </c>
      <c r="F699" t="s">
        <v>14</v>
      </c>
      <c r="G699">
        <v>9722</v>
      </c>
      <c r="H699">
        <v>7356</v>
      </c>
      <c r="I699">
        <v>2.5</v>
      </c>
      <c r="J699">
        <v>53</v>
      </c>
      <c r="M699">
        <f t="shared" ca="1" si="40"/>
        <v>605</v>
      </c>
      <c r="N699" s="3" t="str" cm="1">
        <f t="array" ref="N699">_xlfn.IFS(I699&gt;=3.5,"Excellent",I699&gt;=3,"Good",I699&gt;=2,"Average",I699&lt;2,"Poor")</f>
        <v>Average</v>
      </c>
      <c r="P699" t="str">
        <f t="shared" si="41"/>
        <v>True</v>
      </c>
      <c r="Q699">
        <f t="shared" si="42"/>
        <v>325868</v>
      </c>
      <c r="R699">
        <v>2023</v>
      </c>
      <c r="X699" t="str">
        <f t="shared" ca="1" si="43"/>
        <v/>
      </c>
    </row>
    <row r="700" spans="1:24" x14ac:dyDescent="0.25">
      <c r="A700" t="s">
        <v>1421</v>
      </c>
      <c r="B700" t="s">
        <v>1422</v>
      </c>
      <c r="C700" t="s">
        <v>28</v>
      </c>
      <c r="D700" t="s">
        <v>13</v>
      </c>
      <c r="E700" s="1">
        <v>45330</v>
      </c>
      <c r="F700" t="s">
        <v>14</v>
      </c>
      <c r="G700">
        <v>12801</v>
      </c>
      <c r="H700">
        <v>8270</v>
      </c>
      <c r="I700">
        <v>2.58</v>
      </c>
      <c r="J700">
        <v>57</v>
      </c>
      <c r="M700">
        <f t="shared" ca="1" si="40"/>
        <v>519</v>
      </c>
      <c r="N700" s="3" t="str" cm="1">
        <f t="array" ref="N700">_xlfn.IFS(I700&gt;=3.5,"Excellent",I700&gt;=3,"Good",I700&gt;=2,"Average",I700&lt;2,"Poor")</f>
        <v>Average</v>
      </c>
      <c r="P700" t="str">
        <f t="shared" si="41"/>
        <v>True</v>
      </c>
      <c r="Q700">
        <f t="shared" si="42"/>
        <v>325868</v>
      </c>
      <c r="R700">
        <v>2024</v>
      </c>
      <c r="X700" t="str">
        <f t="shared" ca="1" si="43"/>
        <v/>
      </c>
    </row>
    <row r="701" spans="1:24" x14ac:dyDescent="0.25">
      <c r="A701" t="s">
        <v>1423</v>
      </c>
      <c r="B701" t="s">
        <v>1424</v>
      </c>
      <c r="C701" t="s">
        <v>12</v>
      </c>
      <c r="D701" t="s">
        <v>18</v>
      </c>
      <c r="E701" s="1">
        <v>44745</v>
      </c>
      <c r="F701" t="s">
        <v>14</v>
      </c>
      <c r="G701">
        <v>3650</v>
      </c>
      <c r="H701">
        <v>137</v>
      </c>
      <c r="I701">
        <v>2.64</v>
      </c>
      <c r="J701">
        <v>4</v>
      </c>
      <c r="M701">
        <f t="shared" ca="1" si="40"/>
        <v>1104</v>
      </c>
      <c r="N701" s="3" t="str" cm="1">
        <f t="array" ref="N701">_xlfn.IFS(I701&gt;=3.5,"Excellent",I701&gt;=3,"Good",I701&gt;=2,"Average",I701&lt;2,"Poor")</f>
        <v>Average</v>
      </c>
      <c r="P701" t="str">
        <f t="shared" si="41"/>
        <v/>
      </c>
      <c r="Q701">
        <f t="shared" si="42"/>
        <v>325868</v>
      </c>
      <c r="R701">
        <v>2022</v>
      </c>
      <c r="X701" t="str">
        <f t="shared" ca="1" si="43"/>
        <v/>
      </c>
    </row>
    <row r="702" spans="1:24" x14ac:dyDescent="0.25">
      <c r="A702" t="s">
        <v>1425</v>
      </c>
      <c r="B702" t="s">
        <v>1426</v>
      </c>
      <c r="C702" t="s">
        <v>57</v>
      </c>
      <c r="D702" t="s">
        <v>31</v>
      </c>
      <c r="E702" s="1">
        <v>45078</v>
      </c>
      <c r="F702" t="s">
        <v>39</v>
      </c>
      <c r="G702">
        <v>8042</v>
      </c>
      <c r="H702">
        <v>5884</v>
      </c>
      <c r="I702">
        <v>3.91</v>
      </c>
      <c r="J702">
        <v>37</v>
      </c>
      <c r="M702" t="str">
        <f t="shared" ca="1" si="40"/>
        <v/>
      </c>
      <c r="N702" s="3" t="str" cm="1">
        <f t="array" ref="N702">_xlfn.IFS(I702&gt;=3.5,"Excellent",I702&gt;=3,"Good",I702&gt;=2,"Average",I702&lt;2,"Poor")</f>
        <v>Excellent</v>
      </c>
      <c r="P702" t="str">
        <f t="shared" si="41"/>
        <v>True</v>
      </c>
      <c r="Q702">
        <f t="shared" si="42"/>
        <v>325868</v>
      </c>
      <c r="R702">
        <v>2023</v>
      </c>
      <c r="X702" t="str">
        <f t="shared" ca="1" si="43"/>
        <v/>
      </c>
    </row>
    <row r="703" spans="1:24" x14ac:dyDescent="0.25">
      <c r="A703" t="s">
        <v>1427</v>
      </c>
      <c r="B703" t="s">
        <v>1428</v>
      </c>
      <c r="C703" t="s">
        <v>25</v>
      </c>
      <c r="D703" t="s">
        <v>13</v>
      </c>
      <c r="E703" s="1">
        <v>44636</v>
      </c>
      <c r="F703" t="s">
        <v>19</v>
      </c>
      <c r="G703">
        <v>4253</v>
      </c>
      <c r="H703">
        <v>7291</v>
      </c>
      <c r="I703">
        <v>3.66</v>
      </c>
      <c r="J703">
        <v>113</v>
      </c>
      <c r="M703" t="str">
        <f t="shared" ca="1" si="40"/>
        <v/>
      </c>
      <c r="N703" s="3" t="str" cm="1">
        <f t="array" ref="N703">_xlfn.IFS(I703&gt;=3.5,"Excellent",I703&gt;=3,"Good",I703&gt;=2,"Average",I703&lt;2,"Poor")</f>
        <v>Excellent</v>
      </c>
      <c r="P703" t="str">
        <f t="shared" si="41"/>
        <v>True</v>
      </c>
      <c r="Q703">
        <f t="shared" si="42"/>
        <v>325868</v>
      </c>
      <c r="R703">
        <v>2022</v>
      </c>
      <c r="X703">
        <f t="shared" ca="1" si="43"/>
        <v>1213</v>
      </c>
    </row>
    <row r="704" spans="1:24" x14ac:dyDescent="0.25">
      <c r="A704" t="s">
        <v>1429</v>
      </c>
      <c r="B704" t="s">
        <v>1430</v>
      </c>
      <c r="C704" t="s">
        <v>36</v>
      </c>
      <c r="D704" t="s">
        <v>13</v>
      </c>
      <c r="E704" s="1">
        <v>45212</v>
      </c>
      <c r="F704" t="s">
        <v>14</v>
      </c>
      <c r="G704">
        <v>7568</v>
      </c>
      <c r="H704">
        <v>6300</v>
      </c>
      <c r="I704">
        <v>3.11</v>
      </c>
      <c r="J704">
        <v>25</v>
      </c>
      <c r="M704">
        <f t="shared" ca="1" si="40"/>
        <v>637</v>
      </c>
      <c r="N704" s="3" t="str" cm="1">
        <f t="array" ref="N704">_xlfn.IFS(I704&gt;=3.5,"Excellent",I704&gt;=3,"Good",I704&gt;=2,"Average",I704&lt;2,"Poor")</f>
        <v>Good</v>
      </c>
      <c r="P704" t="str">
        <f t="shared" si="41"/>
        <v>True</v>
      </c>
      <c r="Q704">
        <f t="shared" si="42"/>
        <v>325868</v>
      </c>
      <c r="R704">
        <v>2023</v>
      </c>
      <c r="X704" t="str">
        <f t="shared" ca="1" si="43"/>
        <v/>
      </c>
    </row>
    <row r="705" spans="1:24" x14ac:dyDescent="0.25">
      <c r="A705" t="s">
        <v>1431</v>
      </c>
      <c r="B705" t="s">
        <v>1432</v>
      </c>
      <c r="C705" t="s">
        <v>36</v>
      </c>
      <c r="D705" t="s">
        <v>18</v>
      </c>
      <c r="E705" s="1">
        <v>44944</v>
      </c>
      <c r="F705" t="s">
        <v>14</v>
      </c>
      <c r="G705">
        <v>12595</v>
      </c>
      <c r="H705">
        <v>5062</v>
      </c>
      <c r="I705">
        <v>2.6</v>
      </c>
      <c r="J705">
        <v>66</v>
      </c>
      <c r="M705">
        <f t="shared" ca="1" si="40"/>
        <v>905</v>
      </c>
      <c r="N705" s="3" t="str" cm="1">
        <f t="array" ref="N705">_xlfn.IFS(I705&gt;=3.5,"Excellent",I705&gt;=3,"Good",I705&gt;=2,"Average",I705&lt;2,"Poor")</f>
        <v>Average</v>
      </c>
      <c r="P705" t="str">
        <f t="shared" si="41"/>
        <v/>
      </c>
      <c r="Q705">
        <f t="shared" si="42"/>
        <v>325868</v>
      </c>
      <c r="R705">
        <v>2023</v>
      </c>
      <c r="X705" t="str">
        <f t="shared" ca="1" si="43"/>
        <v/>
      </c>
    </row>
    <row r="706" spans="1:24" x14ac:dyDescent="0.25">
      <c r="A706" t="s">
        <v>1433</v>
      </c>
      <c r="B706" t="s">
        <v>1434</v>
      </c>
      <c r="C706" t="s">
        <v>36</v>
      </c>
      <c r="D706" t="s">
        <v>62</v>
      </c>
      <c r="E706" s="1">
        <v>45166</v>
      </c>
      <c r="F706" t="s">
        <v>14</v>
      </c>
      <c r="G706">
        <v>13552</v>
      </c>
      <c r="H706">
        <v>9582</v>
      </c>
      <c r="I706">
        <v>2.4300000000000002</v>
      </c>
      <c r="J706">
        <v>10</v>
      </c>
      <c r="M706">
        <f t="shared" ca="1" si="40"/>
        <v>683</v>
      </c>
      <c r="N706" s="3" t="str" cm="1">
        <f t="array" ref="N706">_xlfn.IFS(I706&gt;=3.5,"Excellent",I706&gt;=3,"Good",I706&gt;=2,"Average",I706&lt;2,"Poor")</f>
        <v>Average</v>
      </c>
      <c r="P706" t="str">
        <f t="shared" si="41"/>
        <v>True</v>
      </c>
      <c r="Q706">
        <f t="shared" si="42"/>
        <v>325868</v>
      </c>
      <c r="R706">
        <v>2023</v>
      </c>
      <c r="X706" t="str">
        <f t="shared" ca="1" si="43"/>
        <v/>
      </c>
    </row>
    <row r="707" spans="1:24" x14ac:dyDescent="0.25">
      <c r="A707" t="s">
        <v>1435</v>
      </c>
      <c r="B707" t="s">
        <v>1436</v>
      </c>
      <c r="C707" t="s">
        <v>25</v>
      </c>
      <c r="D707" t="s">
        <v>62</v>
      </c>
      <c r="E707" s="1">
        <v>45184</v>
      </c>
      <c r="F707" t="s">
        <v>14</v>
      </c>
      <c r="G707">
        <v>12316</v>
      </c>
      <c r="H707">
        <v>5027</v>
      </c>
      <c r="I707">
        <v>2.77</v>
      </c>
      <c r="J707">
        <v>23</v>
      </c>
      <c r="M707">
        <f t="shared" ref="M707:M770" ca="1" si="44">IF(F707="Enrolled",TODAY()-E707,"")</f>
        <v>665</v>
      </c>
      <c r="N707" s="3" t="str" cm="1">
        <f t="array" ref="N707">_xlfn.IFS(I707&gt;=3.5,"Excellent",I707&gt;=3,"Good",I707&gt;=2,"Average",I707&lt;2,"Poor")</f>
        <v>Average</v>
      </c>
      <c r="P707" t="str">
        <f t="shared" ref="P707:P770" si="45">IF(H707&gt;0.5*G707,"True","")</f>
        <v/>
      </c>
      <c r="Q707">
        <f t="shared" ref="Q707:Q770" si="46">SUMIFS(G707:G1906,F707:F1906,"Completed",D707:D1906,"Science")</f>
        <v>325868</v>
      </c>
      <c r="R707">
        <v>2023</v>
      </c>
      <c r="X707" t="str">
        <f t="shared" ref="X707:X770" ca="1" si="47">IF(F707="Completed",TODAY()-E707,"")</f>
        <v/>
      </c>
    </row>
    <row r="708" spans="1:24" x14ac:dyDescent="0.25">
      <c r="A708" t="s">
        <v>1437</v>
      </c>
      <c r="B708" t="s">
        <v>1438</v>
      </c>
      <c r="C708" t="s">
        <v>28</v>
      </c>
      <c r="D708" t="s">
        <v>31</v>
      </c>
      <c r="E708" s="1">
        <v>45050</v>
      </c>
      <c r="F708" t="s">
        <v>14</v>
      </c>
      <c r="G708">
        <v>13723</v>
      </c>
      <c r="H708">
        <v>8461</v>
      </c>
      <c r="I708">
        <v>2.46</v>
      </c>
      <c r="J708">
        <v>58</v>
      </c>
      <c r="M708">
        <f t="shared" ca="1" si="44"/>
        <v>799</v>
      </c>
      <c r="N708" s="3" t="str" cm="1">
        <f t="array" ref="N708">_xlfn.IFS(I708&gt;=3.5,"Excellent",I708&gt;=3,"Good",I708&gt;=2,"Average",I708&lt;2,"Poor")</f>
        <v>Average</v>
      </c>
      <c r="P708" t="str">
        <f t="shared" si="45"/>
        <v>True</v>
      </c>
      <c r="Q708">
        <f t="shared" si="46"/>
        <v>325868</v>
      </c>
      <c r="R708">
        <v>2023</v>
      </c>
      <c r="X708" t="str">
        <f t="shared" ca="1" si="47"/>
        <v/>
      </c>
    </row>
    <row r="709" spans="1:24" x14ac:dyDescent="0.25">
      <c r="A709" t="s">
        <v>1439</v>
      </c>
      <c r="B709" t="s">
        <v>1440</v>
      </c>
      <c r="C709" t="s">
        <v>12</v>
      </c>
      <c r="D709" t="s">
        <v>13</v>
      </c>
      <c r="E709" s="1">
        <v>44921</v>
      </c>
      <c r="F709" t="s">
        <v>14</v>
      </c>
      <c r="G709">
        <v>7398</v>
      </c>
      <c r="H709">
        <v>5789</v>
      </c>
      <c r="I709">
        <v>3.81</v>
      </c>
      <c r="J709">
        <v>90</v>
      </c>
      <c r="M709">
        <f t="shared" ca="1" si="44"/>
        <v>928</v>
      </c>
      <c r="N709" s="3" t="str" cm="1">
        <f t="array" ref="N709">_xlfn.IFS(I709&gt;=3.5,"Excellent",I709&gt;=3,"Good",I709&gt;=2,"Average",I709&lt;2,"Poor")</f>
        <v>Excellent</v>
      </c>
      <c r="P709" t="str">
        <f t="shared" si="45"/>
        <v>True</v>
      </c>
      <c r="Q709">
        <f t="shared" si="46"/>
        <v>325868</v>
      </c>
      <c r="R709">
        <v>2022</v>
      </c>
      <c r="X709" t="str">
        <f t="shared" ca="1" si="47"/>
        <v/>
      </c>
    </row>
    <row r="710" spans="1:24" x14ac:dyDescent="0.25">
      <c r="A710" t="s">
        <v>1441</v>
      </c>
      <c r="B710" t="s">
        <v>1442</v>
      </c>
      <c r="C710" t="s">
        <v>54</v>
      </c>
      <c r="D710" t="s">
        <v>31</v>
      </c>
      <c r="E710" s="1">
        <v>45261</v>
      </c>
      <c r="F710" t="s">
        <v>19</v>
      </c>
      <c r="G710">
        <v>11190</v>
      </c>
      <c r="H710">
        <v>33</v>
      </c>
      <c r="I710">
        <v>2.81</v>
      </c>
      <c r="J710">
        <v>79</v>
      </c>
      <c r="M710" t="str">
        <f t="shared" ca="1" si="44"/>
        <v/>
      </c>
      <c r="N710" s="3" t="str" cm="1">
        <f t="array" ref="N710">_xlfn.IFS(I710&gt;=3.5,"Excellent",I710&gt;=3,"Good",I710&gt;=2,"Average",I710&lt;2,"Poor")</f>
        <v>Average</v>
      </c>
      <c r="P710" t="str">
        <f t="shared" si="45"/>
        <v/>
      </c>
      <c r="Q710">
        <f t="shared" si="46"/>
        <v>325868</v>
      </c>
      <c r="R710">
        <v>2023</v>
      </c>
      <c r="X710">
        <f t="shared" ca="1" si="47"/>
        <v>588</v>
      </c>
    </row>
    <row r="711" spans="1:24" x14ac:dyDescent="0.25">
      <c r="A711" t="s">
        <v>1443</v>
      </c>
      <c r="B711" t="s">
        <v>1444</v>
      </c>
      <c r="C711" t="s">
        <v>57</v>
      </c>
      <c r="D711" t="s">
        <v>18</v>
      </c>
      <c r="E711" s="1">
        <v>44632</v>
      </c>
      <c r="F711" t="s">
        <v>19</v>
      </c>
      <c r="G711">
        <v>11686</v>
      </c>
      <c r="H711">
        <v>869</v>
      </c>
      <c r="I711">
        <v>3.04</v>
      </c>
      <c r="J711">
        <v>25</v>
      </c>
      <c r="M711" t="str">
        <f t="shared" ca="1" si="44"/>
        <v/>
      </c>
      <c r="N711" s="3" t="str" cm="1">
        <f t="array" ref="N711">_xlfn.IFS(I711&gt;=3.5,"Excellent",I711&gt;=3,"Good",I711&gt;=2,"Average",I711&lt;2,"Poor")</f>
        <v>Good</v>
      </c>
      <c r="P711" t="str">
        <f t="shared" si="45"/>
        <v/>
      </c>
      <c r="Q711">
        <f t="shared" si="46"/>
        <v>325868</v>
      </c>
      <c r="R711">
        <v>2022</v>
      </c>
      <c r="X711">
        <f t="shared" ca="1" si="47"/>
        <v>1217</v>
      </c>
    </row>
    <row r="712" spans="1:24" x14ac:dyDescent="0.25">
      <c r="A712" t="s">
        <v>1445</v>
      </c>
      <c r="B712" t="s">
        <v>1446</v>
      </c>
      <c r="C712" t="s">
        <v>28</v>
      </c>
      <c r="D712" t="s">
        <v>31</v>
      </c>
      <c r="E712" s="1">
        <v>45273</v>
      </c>
      <c r="F712" t="s">
        <v>14</v>
      </c>
      <c r="G712">
        <v>10158</v>
      </c>
      <c r="H712">
        <v>9319</v>
      </c>
      <c r="I712">
        <v>3</v>
      </c>
      <c r="J712">
        <v>19</v>
      </c>
      <c r="M712">
        <f t="shared" ca="1" si="44"/>
        <v>576</v>
      </c>
      <c r="N712" s="3" t="str" cm="1">
        <f t="array" ref="N712">_xlfn.IFS(I712&gt;=3.5,"Excellent",I712&gt;=3,"Good",I712&gt;=2,"Average",I712&lt;2,"Poor")</f>
        <v>Good</v>
      </c>
      <c r="P712" t="str">
        <f t="shared" si="45"/>
        <v>True</v>
      </c>
      <c r="Q712">
        <f t="shared" si="46"/>
        <v>314182</v>
      </c>
      <c r="R712">
        <v>2023</v>
      </c>
      <c r="X712" t="str">
        <f t="shared" ca="1" si="47"/>
        <v/>
      </c>
    </row>
    <row r="713" spans="1:24" x14ac:dyDescent="0.25">
      <c r="A713" t="s">
        <v>1447</v>
      </c>
      <c r="B713" t="s">
        <v>1448</v>
      </c>
      <c r="C713" t="s">
        <v>25</v>
      </c>
      <c r="D713" t="s">
        <v>13</v>
      </c>
      <c r="E713" s="1">
        <v>44633</v>
      </c>
      <c r="F713" t="s">
        <v>39</v>
      </c>
      <c r="G713">
        <v>3088</v>
      </c>
      <c r="H713">
        <v>2439</v>
      </c>
      <c r="I713">
        <v>2.4700000000000002</v>
      </c>
      <c r="J713">
        <v>113</v>
      </c>
      <c r="M713" t="str">
        <f t="shared" ca="1" si="44"/>
        <v/>
      </c>
      <c r="N713" s="3" t="str" cm="1">
        <f t="array" ref="N713">_xlfn.IFS(I713&gt;=3.5,"Excellent",I713&gt;=3,"Good",I713&gt;=2,"Average",I713&lt;2,"Poor")</f>
        <v>Average</v>
      </c>
      <c r="P713" t="str">
        <f t="shared" si="45"/>
        <v>True</v>
      </c>
      <c r="Q713">
        <f t="shared" si="46"/>
        <v>314182</v>
      </c>
      <c r="R713">
        <v>2022</v>
      </c>
      <c r="X713" t="str">
        <f t="shared" ca="1" si="47"/>
        <v/>
      </c>
    </row>
    <row r="714" spans="1:24" x14ac:dyDescent="0.25">
      <c r="A714" t="s">
        <v>1449</v>
      </c>
      <c r="B714" t="s">
        <v>1450</v>
      </c>
      <c r="C714" t="s">
        <v>12</v>
      </c>
      <c r="D714" t="s">
        <v>18</v>
      </c>
      <c r="E714" s="1">
        <v>45153</v>
      </c>
      <c r="F714" t="s">
        <v>14</v>
      </c>
      <c r="G714">
        <v>2510</v>
      </c>
      <c r="H714">
        <v>8919</v>
      </c>
      <c r="I714">
        <v>3.72</v>
      </c>
      <c r="J714">
        <v>98</v>
      </c>
      <c r="M714">
        <f t="shared" ca="1" si="44"/>
        <v>696</v>
      </c>
      <c r="N714" s="3" t="str" cm="1">
        <f t="array" ref="N714">_xlfn.IFS(I714&gt;=3.5,"Excellent",I714&gt;=3,"Good",I714&gt;=2,"Average",I714&lt;2,"Poor")</f>
        <v>Excellent</v>
      </c>
      <c r="P714" t="str">
        <f t="shared" si="45"/>
        <v>True</v>
      </c>
      <c r="Q714">
        <f t="shared" si="46"/>
        <v>314182</v>
      </c>
      <c r="R714">
        <v>2023</v>
      </c>
      <c r="X714" t="str">
        <f t="shared" ca="1" si="47"/>
        <v/>
      </c>
    </row>
    <row r="715" spans="1:24" x14ac:dyDescent="0.25">
      <c r="A715" t="s">
        <v>1451</v>
      </c>
      <c r="B715" t="s">
        <v>1452</v>
      </c>
      <c r="C715" t="s">
        <v>54</v>
      </c>
      <c r="D715" t="s">
        <v>31</v>
      </c>
      <c r="E715" s="1">
        <v>44921</v>
      </c>
      <c r="F715" t="s">
        <v>39</v>
      </c>
      <c r="G715">
        <v>2925</v>
      </c>
      <c r="H715">
        <v>3209</v>
      </c>
      <c r="I715">
        <v>2.88</v>
      </c>
      <c r="J715">
        <v>59</v>
      </c>
      <c r="M715" t="str">
        <f t="shared" ca="1" si="44"/>
        <v/>
      </c>
      <c r="N715" s="3" t="str" cm="1">
        <f t="array" ref="N715">_xlfn.IFS(I715&gt;=3.5,"Excellent",I715&gt;=3,"Good",I715&gt;=2,"Average",I715&lt;2,"Poor")</f>
        <v>Average</v>
      </c>
      <c r="P715" t="str">
        <f t="shared" si="45"/>
        <v>True</v>
      </c>
      <c r="Q715">
        <f t="shared" si="46"/>
        <v>314182</v>
      </c>
      <c r="R715">
        <v>2022</v>
      </c>
      <c r="X715" t="str">
        <f t="shared" ca="1" si="47"/>
        <v/>
      </c>
    </row>
    <row r="716" spans="1:24" x14ac:dyDescent="0.25">
      <c r="A716" t="s">
        <v>1453</v>
      </c>
      <c r="B716" t="s">
        <v>1454</v>
      </c>
      <c r="C716" t="s">
        <v>28</v>
      </c>
      <c r="D716" t="s">
        <v>13</v>
      </c>
      <c r="E716" s="1">
        <v>44599</v>
      </c>
      <c r="F716" t="s">
        <v>14</v>
      </c>
      <c r="G716">
        <v>10388</v>
      </c>
      <c r="H716">
        <v>2667</v>
      </c>
      <c r="I716">
        <v>3.62</v>
      </c>
      <c r="J716">
        <v>35</v>
      </c>
      <c r="M716">
        <f t="shared" ca="1" si="44"/>
        <v>1250</v>
      </c>
      <c r="N716" s="3" t="str" cm="1">
        <f t="array" ref="N716">_xlfn.IFS(I716&gt;=3.5,"Excellent",I716&gt;=3,"Good",I716&gt;=2,"Average",I716&lt;2,"Poor")</f>
        <v>Excellent</v>
      </c>
      <c r="P716" t="str">
        <f t="shared" si="45"/>
        <v/>
      </c>
      <c r="Q716">
        <f t="shared" si="46"/>
        <v>314182</v>
      </c>
      <c r="R716">
        <v>2022</v>
      </c>
      <c r="X716" t="str">
        <f t="shared" ca="1" si="47"/>
        <v/>
      </c>
    </row>
    <row r="717" spans="1:24" x14ac:dyDescent="0.25">
      <c r="A717" t="s">
        <v>1455</v>
      </c>
      <c r="B717" t="s">
        <v>1456</v>
      </c>
      <c r="C717" t="s">
        <v>17</v>
      </c>
      <c r="D717" t="s">
        <v>62</v>
      </c>
      <c r="E717" s="1">
        <v>44880</v>
      </c>
      <c r="F717" t="s">
        <v>19</v>
      </c>
      <c r="G717">
        <v>7318</v>
      </c>
      <c r="H717">
        <v>8381</v>
      </c>
      <c r="I717">
        <v>2.86</v>
      </c>
      <c r="J717">
        <v>88</v>
      </c>
      <c r="M717" t="str">
        <f t="shared" ca="1" si="44"/>
        <v/>
      </c>
      <c r="N717" s="3" t="str" cm="1">
        <f t="array" ref="N717">_xlfn.IFS(I717&gt;=3.5,"Excellent",I717&gt;=3,"Good",I717&gt;=2,"Average",I717&lt;2,"Poor")</f>
        <v>Average</v>
      </c>
      <c r="P717" t="str">
        <f t="shared" si="45"/>
        <v>True</v>
      </c>
      <c r="Q717">
        <f t="shared" si="46"/>
        <v>314182</v>
      </c>
      <c r="R717">
        <v>2022</v>
      </c>
      <c r="X717">
        <f t="shared" ca="1" si="47"/>
        <v>969</v>
      </c>
    </row>
    <row r="718" spans="1:24" x14ac:dyDescent="0.25">
      <c r="A718" t="s">
        <v>1457</v>
      </c>
      <c r="B718" t="s">
        <v>1458</v>
      </c>
      <c r="C718" t="s">
        <v>36</v>
      </c>
      <c r="D718" t="s">
        <v>31</v>
      </c>
      <c r="E718" s="1">
        <v>45195</v>
      </c>
      <c r="F718" t="s">
        <v>19</v>
      </c>
      <c r="G718">
        <v>9113</v>
      </c>
      <c r="H718">
        <v>5810</v>
      </c>
      <c r="I718">
        <v>3.84</v>
      </c>
      <c r="J718">
        <v>86</v>
      </c>
      <c r="M718" t="str">
        <f t="shared" ca="1" si="44"/>
        <v/>
      </c>
      <c r="N718" s="3" t="str" cm="1">
        <f t="array" ref="N718">_xlfn.IFS(I718&gt;=3.5,"Excellent",I718&gt;=3,"Good",I718&gt;=2,"Average",I718&lt;2,"Poor")</f>
        <v>Excellent</v>
      </c>
      <c r="P718" t="str">
        <f t="shared" si="45"/>
        <v>True</v>
      </c>
      <c r="Q718">
        <f t="shared" si="46"/>
        <v>314182</v>
      </c>
      <c r="R718">
        <v>2023</v>
      </c>
      <c r="X718">
        <f t="shared" ca="1" si="47"/>
        <v>654</v>
      </c>
    </row>
    <row r="719" spans="1:24" x14ac:dyDescent="0.25">
      <c r="A719" t="s">
        <v>1459</v>
      </c>
      <c r="B719" t="s">
        <v>1460</v>
      </c>
      <c r="C719" t="s">
        <v>36</v>
      </c>
      <c r="D719" t="s">
        <v>62</v>
      </c>
      <c r="E719" s="1">
        <v>44652</v>
      </c>
      <c r="F719" t="s">
        <v>14</v>
      </c>
      <c r="G719">
        <v>6712</v>
      </c>
      <c r="H719">
        <v>1250</v>
      </c>
      <c r="I719">
        <v>2.1800000000000002</v>
      </c>
      <c r="J719">
        <v>10</v>
      </c>
      <c r="M719">
        <f t="shared" ca="1" si="44"/>
        <v>1197</v>
      </c>
      <c r="N719" s="3" t="str" cm="1">
        <f t="array" ref="N719">_xlfn.IFS(I719&gt;=3.5,"Excellent",I719&gt;=3,"Good",I719&gt;=2,"Average",I719&lt;2,"Poor")</f>
        <v>Average</v>
      </c>
      <c r="P719" t="str">
        <f t="shared" si="45"/>
        <v/>
      </c>
      <c r="Q719">
        <f t="shared" si="46"/>
        <v>314182</v>
      </c>
      <c r="R719">
        <v>2022</v>
      </c>
      <c r="X719" t="str">
        <f t="shared" ca="1" si="47"/>
        <v/>
      </c>
    </row>
    <row r="720" spans="1:24" x14ac:dyDescent="0.25">
      <c r="A720" t="s">
        <v>1461</v>
      </c>
      <c r="B720" t="s">
        <v>1462</v>
      </c>
      <c r="C720" t="s">
        <v>57</v>
      </c>
      <c r="D720" t="s">
        <v>62</v>
      </c>
      <c r="E720" s="1">
        <v>45180</v>
      </c>
      <c r="F720" t="s">
        <v>14</v>
      </c>
      <c r="G720">
        <v>3350</v>
      </c>
      <c r="H720">
        <v>107</v>
      </c>
      <c r="I720">
        <v>2.92</v>
      </c>
      <c r="J720">
        <v>109</v>
      </c>
      <c r="M720">
        <f t="shared" ca="1" si="44"/>
        <v>669</v>
      </c>
      <c r="N720" s="3" t="str" cm="1">
        <f t="array" ref="N720">_xlfn.IFS(I720&gt;=3.5,"Excellent",I720&gt;=3,"Good",I720&gt;=2,"Average",I720&lt;2,"Poor")</f>
        <v>Average</v>
      </c>
      <c r="P720" t="str">
        <f t="shared" si="45"/>
        <v/>
      </c>
      <c r="Q720">
        <f t="shared" si="46"/>
        <v>314182</v>
      </c>
      <c r="R720">
        <v>2023</v>
      </c>
      <c r="X720" t="str">
        <f t="shared" ca="1" si="47"/>
        <v/>
      </c>
    </row>
    <row r="721" spans="1:24" x14ac:dyDescent="0.25">
      <c r="A721" t="s">
        <v>1463</v>
      </c>
      <c r="B721" t="s">
        <v>1464</v>
      </c>
      <c r="C721" t="s">
        <v>36</v>
      </c>
      <c r="D721" t="s">
        <v>31</v>
      </c>
      <c r="E721" s="1">
        <v>44906</v>
      </c>
      <c r="F721" t="s">
        <v>19</v>
      </c>
      <c r="G721">
        <v>2209</v>
      </c>
      <c r="H721">
        <v>2392</v>
      </c>
      <c r="I721">
        <v>3.49</v>
      </c>
      <c r="J721">
        <v>66</v>
      </c>
      <c r="M721" t="str">
        <f t="shared" ca="1" si="44"/>
        <v/>
      </c>
      <c r="N721" s="3" t="str" cm="1">
        <f t="array" ref="N721">_xlfn.IFS(I721&gt;=3.5,"Excellent",I721&gt;=3,"Good",I721&gt;=2,"Average",I721&lt;2,"Poor")</f>
        <v>Good</v>
      </c>
      <c r="P721" t="str">
        <f t="shared" si="45"/>
        <v>True</v>
      </c>
      <c r="Q721">
        <f t="shared" si="46"/>
        <v>314182</v>
      </c>
      <c r="R721">
        <v>2022</v>
      </c>
      <c r="X721">
        <f t="shared" ca="1" si="47"/>
        <v>943</v>
      </c>
    </row>
    <row r="722" spans="1:24" x14ac:dyDescent="0.25">
      <c r="A722" t="s">
        <v>1465</v>
      </c>
      <c r="B722" t="s">
        <v>1466</v>
      </c>
      <c r="C722" t="s">
        <v>28</v>
      </c>
      <c r="D722" t="s">
        <v>31</v>
      </c>
      <c r="E722" s="1">
        <v>44828</v>
      </c>
      <c r="F722" t="s">
        <v>14</v>
      </c>
      <c r="G722">
        <v>13928</v>
      </c>
      <c r="H722">
        <v>6933</v>
      </c>
      <c r="I722">
        <v>3.37</v>
      </c>
      <c r="J722">
        <v>64</v>
      </c>
      <c r="M722">
        <f t="shared" ca="1" si="44"/>
        <v>1021</v>
      </c>
      <c r="N722" s="3" t="str" cm="1">
        <f t="array" ref="N722">_xlfn.IFS(I722&gt;=3.5,"Excellent",I722&gt;=3,"Good",I722&gt;=2,"Average",I722&lt;2,"Poor")</f>
        <v>Good</v>
      </c>
      <c r="P722" t="str">
        <f t="shared" si="45"/>
        <v/>
      </c>
      <c r="Q722">
        <f t="shared" si="46"/>
        <v>314182</v>
      </c>
      <c r="R722">
        <v>2022</v>
      </c>
      <c r="X722" t="str">
        <f t="shared" ca="1" si="47"/>
        <v/>
      </c>
    </row>
    <row r="723" spans="1:24" x14ac:dyDescent="0.25">
      <c r="A723" t="s">
        <v>1467</v>
      </c>
      <c r="B723" t="s">
        <v>1468</v>
      </c>
      <c r="C723" t="s">
        <v>12</v>
      </c>
      <c r="D723" t="s">
        <v>31</v>
      </c>
      <c r="E723" s="1">
        <v>45227</v>
      </c>
      <c r="F723" t="s">
        <v>14</v>
      </c>
      <c r="G723">
        <v>9516</v>
      </c>
      <c r="H723">
        <v>729</v>
      </c>
      <c r="I723">
        <v>3.16</v>
      </c>
      <c r="J723">
        <v>96</v>
      </c>
      <c r="M723">
        <f t="shared" ca="1" si="44"/>
        <v>622</v>
      </c>
      <c r="N723" s="3" t="str" cm="1">
        <f t="array" ref="N723">_xlfn.IFS(I723&gt;=3.5,"Excellent",I723&gt;=3,"Good",I723&gt;=2,"Average",I723&lt;2,"Poor")</f>
        <v>Good</v>
      </c>
      <c r="P723" t="str">
        <f t="shared" si="45"/>
        <v/>
      </c>
      <c r="Q723">
        <f t="shared" si="46"/>
        <v>314182</v>
      </c>
      <c r="R723">
        <v>2023</v>
      </c>
      <c r="X723" t="str">
        <f t="shared" ca="1" si="47"/>
        <v/>
      </c>
    </row>
    <row r="724" spans="1:24" x14ac:dyDescent="0.25">
      <c r="A724" t="s">
        <v>1469</v>
      </c>
      <c r="B724" t="s">
        <v>1470</v>
      </c>
      <c r="C724" t="s">
        <v>36</v>
      </c>
      <c r="D724" t="s">
        <v>62</v>
      </c>
      <c r="E724" s="1">
        <v>44591</v>
      </c>
      <c r="F724" t="s">
        <v>14</v>
      </c>
      <c r="G724">
        <v>5145</v>
      </c>
      <c r="H724">
        <v>6014</v>
      </c>
      <c r="I724">
        <v>2.98</v>
      </c>
      <c r="J724">
        <v>32</v>
      </c>
      <c r="M724">
        <f t="shared" ca="1" si="44"/>
        <v>1258</v>
      </c>
      <c r="N724" s="3" t="str" cm="1">
        <f t="array" ref="N724">_xlfn.IFS(I724&gt;=3.5,"Excellent",I724&gt;=3,"Good",I724&gt;=2,"Average",I724&lt;2,"Poor")</f>
        <v>Average</v>
      </c>
      <c r="P724" t="str">
        <f t="shared" si="45"/>
        <v>True</v>
      </c>
      <c r="Q724">
        <f t="shared" si="46"/>
        <v>314182</v>
      </c>
      <c r="R724">
        <v>2022</v>
      </c>
      <c r="X724" t="str">
        <f t="shared" ca="1" si="47"/>
        <v/>
      </c>
    </row>
    <row r="725" spans="1:24" x14ac:dyDescent="0.25">
      <c r="A725" t="s">
        <v>1471</v>
      </c>
      <c r="B725" t="s">
        <v>1472</v>
      </c>
      <c r="C725" t="s">
        <v>28</v>
      </c>
      <c r="D725" t="s">
        <v>13</v>
      </c>
      <c r="E725" s="1">
        <v>44755</v>
      </c>
      <c r="F725" t="s">
        <v>19</v>
      </c>
      <c r="G725">
        <v>6799</v>
      </c>
      <c r="H725">
        <v>1246</v>
      </c>
      <c r="I725">
        <v>3.07</v>
      </c>
      <c r="J725">
        <v>45</v>
      </c>
      <c r="M725" t="str">
        <f t="shared" ca="1" si="44"/>
        <v/>
      </c>
      <c r="N725" s="3" t="str" cm="1">
        <f t="array" ref="N725">_xlfn.IFS(I725&gt;=3.5,"Excellent",I725&gt;=3,"Good",I725&gt;=2,"Average",I725&lt;2,"Poor")</f>
        <v>Good</v>
      </c>
      <c r="P725" t="str">
        <f t="shared" si="45"/>
        <v/>
      </c>
      <c r="Q725">
        <f t="shared" si="46"/>
        <v>314182</v>
      </c>
      <c r="R725">
        <v>2022</v>
      </c>
      <c r="X725">
        <f t="shared" ca="1" si="47"/>
        <v>1094</v>
      </c>
    </row>
    <row r="726" spans="1:24" x14ac:dyDescent="0.25">
      <c r="A726" t="s">
        <v>1473</v>
      </c>
      <c r="B726" t="s">
        <v>1474</v>
      </c>
      <c r="C726" t="s">
        <v>54</v>
      </c>
      <c r="D726" t="s">
        <v>18</v>
      </c>
      <c r="E726" s="1">
        <v>44956</v>
      </c>
      <c r="F726" t="s">
        <v>14</v>
      </c>
      <c r="G726">
        <v>7388</v>
      </c>
      <c r="H726">
        <v>9272</v>
      </c>
      <c r="I726">
        <v>3.7</v>
      </c>
      <c r="J726">
        <v>118</v>
      </c>
      <c r="M726">
        <f t="shared" ca="1" si="44"/>
        <v>893</v>
      </c>
      <c r="N726" s="3" t="str" cm="1">
        <f t="array" ref="N726">_xlfn.IFS(I726&gt;=3.5,"Excellent",I726&gt;=3,"Good",I726&gt;=2,"Average",I726&lt;2,"Poor")</f>
        <v>Excellent</v>
      </c>
      <c r="P726" t="str">
        <f t="shared" si="45"/>
        <v>True</v>
      </c>
      <c r="Q726">
        <f t="shared" si="46"/>
        <v>314182</v>
      </c>
      <c r="R726">
        <v>2023</v>
      </c>
      <c r="X726" t="str">
        <f t="shared" ca="1" si="47"/>
        <v/>
      </c>
    </row>
    <row r="727" spans="1:24" x14ac:dyDescent="0.25">
      <c r="A727" t="s">
        <v>1475</v>
      </c>
      <c r="B727" t="s">
        <v>1476</v>
      </c>
      <c r="C727" t="s">
        <v>12</v>
      </c>
      <c r="D727" t="s">
        <v>31</v>
      </c>
      <c r="E727" s="1">
        <v>45289</v>
      </c>
      <c r="F727" t="s">
        <v>14</v>
      </c>
      <c r="G727">
        <v>2383</v>
      </c>
      <c r="H727">
        <v>1670</v>
      </c>
      <c r="I727">
        <v>2.82</v>
      </c>
      <c r="J727">
        <v>8</v>
      </c>
      <c r="M727">
        <f t="shared" ca="1" si="44"/>
        <v>560</v>
      </c>
      <c r="N727" s="3" t="str" cm="1">
        <f t="array" ref="N727">_xlfn.IFS(I727&gt;=3.5,"Excellent",I727&gt;=3,"Good",I727&gt;=2,"Average",I727&lt;2,"Poor")</f>
        <v>Average</v>
      </c>
      <c r="P727" t="str">
        <f t="shared" si="45"/>
        <v>True</v>
      </c>
      <c r="Q727">
        <f t="shared" si="46"/>
        <v>314182</v>
      </c>
      <c r="R727">
        <v>2023</v>
      </c>
      <c r="X727" t="str">
        <f t="shared" ca="1" si="47"/>
        <v/>
      </c>
    </row>
    <row r="728" spans="1:24" x14ac:dyDescent="0.25">
      <c r="A728" t="s">
        <v>1477</v>
      </c>
      <c r="B728" t="s">
        <v>1478</v>
      </c>
      <c r="C728" t="s">
        <v>54</v>
      </c>
      <c r="D728" t="s">
        <v>18</v>
      </c>
      <c r="E728" s="1">
        <v>44605</v>
      </c>
      <c r="F728" t="s">
        <v>19</v>
      </c>
      <c r="G728">
        <v>7853</v>
      </c>
      <c r="H728">
        <v>8847</v>
      </c>
      <c r="I728">
        <v>2.4300000000000002</v>
      </c>
      <c r="J728">
        <v>4</v>
      </c>
      <c r="M728" t="str">
        <f t="shared" ca="1" si="44"/>
        <v/>
      </c>
      <c r="N728" s="3" t="str" cm="1">
        <f t="array" ref="N728">_xlfn.IFS(I728&gt;=3.5,"Excellent",I728&gt;=3,"Good",I728&gt;=2,"Average",I728&lt;2,"Poor")</f>
        <v>Average</v>
      </c>
      <c r="P728" t="str">
        <f t="shared" si="45"/>
        <v>True</v>
      </c>
      <c r="Q728">
        <f t="shared" si="46"/>
        <v>314182</v>
      </c>
      <c r="R728">
        <v>2022</v>
      </c>
      <c r="X728">
        <f t="shared" ca="1" si="47"/>
        <v>1244</v>
      </c>
    </row>
    <row r="729" spans="1:24" x14ac:dyDescent="0.25">
      <c r="A729" t="s">
        <v>1479</v>
      </c>
      <c r="B729" t="s">
        <v>1480</v>
      </c>
      <c r="C729" t="s">
        <v>36</v>
      </c>
      <c r="D729" t="s">
        <v>13</v>
      </c>
      <c r="E729" s="1">
        <v>45383</v>
      </c>
      <c r="F729" t="s">
        <v>14</v>
      </c>
      <c r="G729">
        <v>12713</v>
      </c>
      <c r="H729">
        <v>352</v>
      </c>
      <c r="I729">
        <v>3.92</v>
      </c>
      <c r="J729">
        <v>95</v>
      </c>
      <c r="M729">
        <f t="shared" ca="1" si="44"/>
        <v>466</v>
      </c>
      <c r="N729" s="3" t="str" cm="1">
        <f t="array" ref="N729">_xlfn.IFS(I729&gt;=3.5,"Excellent",I729&gt;=3,"Good",I729&gt;=2,"Average",I729&lt;2,"Poor")</f>
        <v>Excellent</v>
      </c>
      <c r="P729" t="str">
        <f t="shared" si="45"/>
        <v/>
      </c>
      <c r="Q729">
        <f t="shared" si="46"/>
        <v>306329</v>
      </c>
      <c r="R729">
        <v>2024</v>
      </c>
      <c r="X729" t="str">
        <f t="shared" ca="1" si="47"/>
        <v/>
      </c>
    </row>
    <row r="730" spans="1:24" x14ac:dyDescent="0.25">
      <c r="A730" t="s">
        <v>1481</v>
      </c>
      <c r="B730" t="s">
        <v>1482</v>
      </c>
      <c r="C730" t="s">
        <v>57</v>
      </c>
      <c r="D730" t="s">
        <v>62</v>
      </c>
      <c r="E730" s="1">
        <v>44821</v>
      </c>
      <c r="F730" t="s">
        <v>19</v>
      </c>
      <c r="G730">
        <v>4256</v>
      </c>
      <c r="H730">
        <v>1159</v>
      </c>
      <c r="I730">
        <v>2.89</v>
      </c>
      <c r="J730">
        <v>32</v>
      </c>
      <c r="M730" t="str">
        <f t="shared" ca="1" si="44"/>
        <v/>
      </c>
      <c r="N730" s="3" t="str" cm="1">
        <f t="array" ref="N730">_xlfn.IFS(I730&gt;=3.5,"Excellent",I730&gt;=3,"Good",I730&gt;=2,"Average",I730&lt;2,"Poor")</f>
        <v>Average</v>
      </c>
      <c r="P730" t="str">
        <f t="shared" si="45"/>
        <v/>
      </c>
      <c r="Q730">
        <f t="shared" si="46"/>
        <v>306329</v>
      </c>
      <c r="R730">
        <v>2022</v>
      </c>
      <c r="X730">
        <f t="shared" ca="1" si="47"/>
        <v>1028</v>
      </c>
    </row>
    <row r="731" spans="1:24" x14ac:dyDescent="0.25">
      <c r="A731" t="s">
        <v>1483</v>
      </c>
      <c r="B731" t="s">
        <v>1484</v>
      </c>
      <c r="C731" t="s">
        <v>36</v>
      </c>
      <c r="D731" t="s">
        <v>31</v>
      </c>
      <c r="E731" s="1">
        <v>44831</v>
      </c>
      <c r="F731" t="s">
        <v>14</v>
      </c>
      <c r="G731">
        <v>9110</v>
      </c>
      <c r="H731">
        <v>7109</v>
      </c>
      <c r="I731">
        <v>3.07</v>
      </c>
      <c r="J731">
        <v>103</v>
      </c>
      <c r="M731">
        <f t="shared" ca="1" si="44"/>
        <v>1018</v>
      </c>
      <c r="N731" s="3" t="str" cm="1">
        <f t="array" ref="N731">_xlfn.IFS(I731&gt;=3.5,"Excellent",I731&gt;=3,"Good",I731&gt;=2,"Average",I731&lt;2,"Poor")</f>
        <v>Good</v>
      </c>
      <c r="P731" t="str">
        <f t="shared" si="45"/>
        <v>True</v>
      </c>
      <c r="Q731">
        <f t="shared" si="46"/>
        <v>306329</v>
      </c>
      <c r="R731">
        <v>2022</v>
      </c>
      <c r="X731" t="str">
        <f t="shared" ca="1" si="47"/>
        <v/>
      </c>
    </row>
    <row r="732" spans="1:24" x14ac:dyDescent="0.25">
      <c r="A732" t="s">
        <v>1485</v>
      </c>
      <c r="B732" t="s">
        <v>1486</v>
      </c>
      <c r="C732" t="s">
        <v>28</v>
      </c>
      <c r="D732" t="s">
        <v>18</v>
      </c>
      <c r="E732" s="1">
        <v>44949</v>
      </c>
      <c r="F732" t="s">
        <v>39</v>
      </c>
      <c r="G732">
        <v>3316</v>
      </c>
      <c r="H732">
        <v>7822</v>
      </c>
      <c r="I732">
        <v>2.2799999999999998</v>
      </c>
      <c r="J732">
        <v>110</v>
      </c>
      <c r="M732" t="str">
        <f t="shared" ca="1" si="44"/>
        <v/>
      </c>
      <c r="N732" s="3" t="str" cm="1">
        <f t="array" ref="N732">_xlfn.IFS(I732&gt;=3.5,"Excellent",I732&gt;=3,"Good",I732&gt;=2,"Average",I732&lt;2,"Poor")</f>
        <v>Average</v>
      </c>
      <c r="P732" t="str">
        <f t="shared" si="45"/>
        <v>True</v>
      </c>
      <c r="Q732">
        <f t="shared" si="46"/>
        <v>306329</v>
      </c>
      <c r="R732">
        <v>2023</v>
      </c>
      <c r="X732" t="str">
        <f t="shared" ca="1" si="47"/>
        <v/>
      </c>
    </row>
    <row r="733" spans="1:24" x14ac:dyDescent="0.25">
      <c r="A733" t="s">
        <v>1487</v>
      </c>
      <c r="B733" t="s">
        <v>1488</v>
      </c>
      <c r="C733" t="s">
        <v>17</v>
      </c>
      <c r="D733" t="s">
        <v>62</v>
      </c>
      <c r="E733" s="1">
        <v>45300</v>
      </c>
      <c r="F733" t="s">
        <v>14</v>
      </c>
      <c r="G733">
        <v>5395</v>
      </c>
      <c r="H733">
        <v>4845</v>
      </c>
      <c r="I733">
        <v>3.29</v>
      </c>
      <c r="J733">
        <v>50</v>
      </c>
      <c r="M733">
        <f t="shared" ca="1" si="44"/>
        <v>549</v>
      </c>
      <c r="N733" s="3" t="str" cm="1">
        <f t="array" ref="N733">_xlfn.IFS(I733&gt;=3.5,"Excellent",I733&gt;=3,"Good",I733&gt;=2,"Average",I733&lt;2,"Poor")</f>
        <v>Good</v>
      </c>
      <c r="P733" t="str">
        <f t="shared" si="45"/>
        <v>True</v>
      </c>
      <c r="Q733">
        <f t="shared" si="46"/>
        <v>306329</v>
      </c>
      <c r="R733">
        <v>2024</v>
      </c>
      <c r="X733" t="str">
        <f t="shared" ca="1" si="47"/>
        <v/>
      </c>
    </row>
    <row r="734" spans="1:24" x14ac:dyDescent="0.25">
      <c r="A734" t="s">
        <v>1489</v>
      </c>
      <c r="B734" t="s">
        <v>1490</v>
      </c>
      <c r="C734" t="s">
        <v>12</v>
      </c>
      <c r="D734" t="s">
        <v>62</v>
      </c>
      <c r="E734" s="1">
        <v>45323</v>
      </c>
      <c r="F734" t="s">
        <v>14</v>
      </c>
      <c r="G734">
        <v>13318</v>
      </c>
      <c r="H734">
        <v>4842</v>
      </c>
      <c r="I734">
        <v>3.79</v>
      </c>
      <c r="J734">
        <v>45</v>
      </c>
      <c r="M734">
        <f t="shared" ca="1" si="44"/>
        <v>526</v>
      </c>
      <c r="N734" s="3" t="str" cm="1">
        <f t="array" ref="N734">_xlfn.IFS(I734&gt;=3.5,"Excellent",I734&gt;=3,"Good",I734&gt;=2,"Average",I734&lt;2,"Poor")</f>
        <v>Excellent</v>
      </c>
      <c r="P734" t="str">
        <f t="shared" si="45"/>
        <v/>
      </c>
      <c r="Q734">
        <f t="shared" si="46"/>
        <v>306329</v>
      </c>
      <c r="R734">
        <v>2024</v>
      </c>
      <c r="X734" t="str">
        <f t="shared" ca="1" si="47"/>
        <v/>
      </c>
    </row>
    <row r="735" spans="1:24" x14ac:dyDescent="0.25">
      <c r="A735" t="s">
        <v>1491</v>
      </c>
      <c r="B735" t="s">
        <v>1492</v>
      </c>
      <c r="C735" t="s">
        <v>28</v>
      </c>
      <c r="D735" t="s">
        <v>13</v>
      </c>
      <c r="E735" s="1">
        <v>44800</v>
      </c>
      <c r="F735" t="s">
        <v>19</v>
      </c>
      <c r="G735">
        <v>6241</v>
      </c>
      <c r="H735">
        <v>5128</v>
      </c>
      <c r="I735">
        <v>3.92</v>
      </c>
      <c r="J735">
        <v>111</v>
      </c>
      <c r="M735" t="str">
        <f t="shared" ca="1" si="44"/>
        <v/>
      </c>
      <c r="N735" s="3" t="str" cm="1">
        <f t="array" ref="N735">_xlfn.IFS(I735&gt;=3.5,"Excellent",I735&gt;=3,"Good",I735&gt;=2,"Average",I735&lt;2,"Poor")</f>
        <v>Excellent</v>
      </c>
      <c r="P735" t="str">
        <f t="shared" si="45"/>
        <v>True</v>
      </c>
      <c r="Q735">
        <f t="shared" si="46"/>
        <v>306329</v>
      </c>
      <c r="R735">
        <v>2022</v>
      </c>
      <c r="X735">
        <f t="shared" ca="1" si="47"/>
        <v>1049</v>
      </c>
    </row>
    <row r="736" spans="1:24" x14ac:dyDescent="0.25">
      <c r="A736" t="s">
        <v>1493</v>
      </c>
      <c r="B736" t="s">
        <v>1494</v>
      </c>
      <c r="C736" t="s">
        <v>57</v>
      </c>
      <c r="D736" t="s">
        <v>18</v>
      </c>
      <c r="E736" s="1">
        <v>44578</v>
      </c>
      <c r="F736" t="s">
        <v>14</v>
      </c>
      <c r="G736">
        <v>8037</v>
      </c>
      <c r="H736">
        <v>3076</v>
      </c>
      <c r="I736">
        <v>2.75</v>
      </c>
      <c r="J736">
        <v>28</v>
      </c>
      <c r="M736">
        <f t="shared" ca="1" si="44"/>
        <v>1271</v>
      </c>
      <c r="N736" s="3" t="str" cm="1">
        <f t="array" ref="N736">_xlfn.IFS(I736&gt;=3.5,"Excellent",I736&gt;=3,"Good",I736&gt;=2,"Average",I736&lt;2,"Poor")</f>
        <v>Average</v>
      </c>
      <c r="P736" t="str">
        <f t="shared" si="45"/>
        <v/>
      </c>
      <c r="Q736">
        <f t="shared" si="46"/>
        <v>306329</v>
      </c>
      <c r="R736">
        <v>2022</v>
      </c>
      <c r="X736" t="str">
        <f t="shared" ca="1" si="47"/>
        <v/>
      </c>
    </row>
    <row r="737" spans="1:24" x14ac:dyDescent="0.25">
      <c r="A737" t="s">
        <v>1495</v>
      </c>
      <c r="B737" t="s">
        <v>1496</v>
      </c>
      <c r="C737" t="s">
        <v>54</v>
      </c>
      <c r="D737" t="s">
        <v>18</v>
      </c>
      <c r="E737" s="1">
        <v>44731</v>
      </c>
      <c r="F737" t="s">
        <v>14</v>
      </c>
      <c r="G737">
        <v>10127</v>
      </c>
      <c r="H737">
        <v>4309</v>
      </c>
      <c r="I737">
        <v>3.84</v>
      </c>
      <c r="J737">
        <v>89</v>
      </c>
      <c r="M737">
        <f t="shared" ca="1" si="44"/>
        <v>1118</v>
      </c>
      <c r="N737" s="3" t="str" cm="1">
        <f t="array" ref="N737">_xlfn.IFS(I737&gt;=3.5,"Excellent",I737&gt;=3,"Good",I737&gt;=2,"Average",I737&lt;2,"Poor")</f>
        <v>Excellent</v>
      </c>
      <c r="P737" t="str">
        <f t="shared" si="45"/>
        <v/>
      </c>
      <c r="Q737">
        <f t="shared" si="46"/>
        <v>306329</v>
      </c>
      <c r="R737">
        <v>2022</v>
      </c>
      <c r="X737" t="str">
        <f t="shared" ca="1" si="47"/>
        <v/>
      </c>
    </row>
    <row r="738" spans="1:24" x14ac:dyDescent="0.25">
      <c r="A738" t="s">
        <v>1497</v>
      </c>
      <c r="B738" t="s">
        <v>1498</v>
      </c>
      <c r="C738" t="s">
        <v>12</v>
      </c>
      <c r="D738" t="s">
        <v>62</v>
      </c>
      <c r="E738" s="1">
        <v>44975</v>
      </c>
      <c r="F738" t="s">
        <v>14</v>
      </c>
      <c r="G738">
        <v>12789</v>
      </c>
      <c r="H738">
        <v>311</v>
      </c>
      <c r="I738">
        <v>2.92</v>
      </c>
      <c r="J738">
        <v>90</v>
      </c>
      <c r="M738">
        <f t="shared" ca="1" si="44"/>
        <v>874</v>
      </c>
      <c r="N738" s="3" t="str" cm="1">
        <f t="array" ref="N738">_xlfn.IFS(I738&gt;=3.5,"Excellent",I738&gt;=3,"Good",I738&gt;=2,"Average",I738&lt;2,"Poor")</f>
        <v>Average</v>
      </c>
      <c r="P738" t="str">
        <f t="shared" si="45"/>
        <v/>
      </c>
      <c r="Q738">
        <f t="shared" si="46"/>
        <v>306329</v>
      </c>
      <c r="R738">
        <v>2023</v>
      </c>
      <c r="X738" t="str">
        <f t="shared" ca="1" si="47"/>
        <v/>
      </c>
    </row>
    <row r="739" spans="1:24" x14ac:dyDescent="0.25">
      <c r="A739" t="s">
        <v>1499</v>
      </c>
      <c r="B739" t="s">
        <v>1500</v>
      </c>
      <c r="C739" t="s">
        <v>57</v>
      </c>
      <c r="D739" t="s">
        <v>13</v>
      </c>
      <c r="E739" s="1">
        <v>44719</v>
      </c>
      <c r="F739" t="s">
        <v>14</v>
      </c>
      <c r="G739">
        <v>10155</v>
      </c>
      <c r="H739">
        <v>9072</v>
      </c>
      <c r="I739">
        <v>3.99</v>
      </c>
      <c r="J739">
        <v>38</v>
      </c>
      <c r="M739">
        <f t="shared" ca="1" si="44"/>
        <v>1130</v>
      </c>
      <c r="N739" s="3" t="str" cm="1">
        <f t="array" ref="N739">_xlfn.IFS(I739&gt;=3.5,"Excellent",I739&gt;=3,"Good",I739&gt;=2,"Average",I739&lt;2,"Poor")</f>
        <v>Excellent</v>
      </c>
      <c r="P739" t="str">
        <f t="shared" si="45"/>
        <v>True</v>
      </c>
      <c r="Q739">
        <f t="shared" si="46"/>
        <v>306329</v>
      </c>
      <c r="R739">
        <v>2022</v>
      </c>
      <c r="X739" t="str">
        <f t="shared" ca="1" si="47"/>
        <v/>
      </c>
    </row>
    <row r="740" spans="1:24" x14ac:dyDescent="0.25">
      <c r="A740" t="s">
        <v>1501</v>
      </c>
      <c r="B740" t="s">
        <v>1502</v>
      </c>
      <c r="C740" t="s">
        <v>57</v>
      </c>
      <c r="D740" t="s">
        <v>31</v>
      </c>
      <c r="E740" s="1">
        <v>44975</v>
      </c>
      <c r="F740" t="s">
        <v>14</v>
      </c>
      <c r="G740">
        <v>6971</v>
      </c>
      <c r="H740">
        <v>6639</v>
      </c>
      <c r="I740">
        <v>2.6</v>
      </c>
      <c r="J740">
        <v>54</v>
      </c>
      <c r="M740">
        <f t="shared" ca="1" si="44"/>
        <v>874</v>
      </c>
      <c r="N740" s="3" t="str" cm="1">
        <f t="array" ref="N740">_xlfn.IFS(I740&gt;=3.5,"Excellent",I740&gt;=3,"Good",I740&gt;=2,"Average",I740&lt;2,"Poor")</f>
        <v>Average</v>
      </c>
      <c r="P740" t="str">
        <f t="shared" si="45"/>
        <v>True</v>
      </c>
      <c r="Q740">
        <f t="shared" si="46"/>
        <v>306329</v>
      </c>
      <c r="R740">
        <v>2023</v>
      </c>
      <c r="X740" t="str">
        <f t="shared" ca="1" si="47"/>
        <v/>
      </c>
    </row>
    <row r="741" spans="1:24" x14ac:dyDescent="0.25">
      <c r="A741" t="s">
        <v>1503</v>
      </c>
      <c r="B741" t="s">
        <v>1504</v>
      </c>
      <c r="C741" t="s">
        <v>57</v>
      </c>
      <c r="D741" t="s">
        <v>13</v>
      </c>
      <c r="E741" s="1">
        <v>44596</v>
      </c>
      <c r="F741" t="s">
        <v>14</v>
      </c>
      <c r="G741">
        <v>9877</v>
      </c>
      <c r="H741">
        <v>1236</v>
      </c>
      <c r="I741">
        <v>3.69</v>
      </c>
      <c r="J741">
        <v>25</v>
      </c>
      <c r="M741">
        <f t="shared" ca="1" si="44"/>
        <v>1253</v>
      </c>
      <c r="N741" s="3" t="str" cm="1">
        <f t="array" ref="N741">_xlfn.IFS(I741&gt;=3.5,"Excellent",I741&gt;=3,"Good",I741&gt;=2,"Average",I741&lt;2,"Poor")</f>
        <v>Excellent</v>
      </c>
      <c r="P741" t="str">
        <f t="shared" si="45"/>
        <v/>
      </c>
      <c r="Q741">
        <f t="shared" si="46"/>
        <v>306329</v>
      </c>
      <c r="R741">
        <v>2022</v>
      </c>
      <c r="X741" t="str">
        <f t="shared" ca="1" si="47"/>
        <v/>
      </c>
    </row>
    <row r="742" spans="1:24" x14ac:dyDescent="0.25">
      <c r="A742" t="s">
        <v>1505</v>
      </c>
      <c r="B742" t="s">
        <v>1506</v>
      </c>
      <c r="C742" t="s">
        <v>17</v>
      </c>
      <c r="D742" t="s">
        <v>18</v>
      </c>
      <c r="E742" s="1">
        <v>45116</v>
      </c>
      <c r="F742" t="s">
        <v>14</v>
      </c>
      <c r="G742">
        <v>9561</v>
      </c>
      <c r="H742">
        <v>5098</v>
      </c>
      <c r="I742">
        <v>3.79</v>
      </c>
      <c r="J742">
        <v>68</v>
      </c>
      <c r="M742">
        <f t="shared" ca="1" si="44"/>
        <v>733</v>
      </c>
      <c r="N742" s="3" t="str" cm="1">
        <f t="array" ref="N742">_xlfn.IFS(I742&gt;=3.5,"Excellent",I742&gt;=3,"Good",I742&gt;=2,"Average",I742&lt;2,"Poor")</f>
        <v>Excellent</v>
      </c>
      <c r="P742" t="str">
        <f t="shared" si="45"/>
        <v>True</v>
      </c>
      <c r="Q742">
        <f t="shared" si="46"/>
        <v>306329</v>
      </c>
      <c r="R742">
        <v>2023</v>
      </c>
      <c r="X742" t="str">
        <f t="shared" ca="1" si="47"/>
        <v/>
      </c>
    </row>
    <row r="743" spans="1:24" x14ac:dyDescent="0.25">
      <c r="A743" t="s">
        <v>1507</v>
      </c>
      <c r="B743" t="s">
        <v>1508</v>
      </c>
      <c r="C743" t="s">
        <v>57</v>
      </c>
      <c r="D743" t="s">
        <v>13</v>
      </c>
      <c r="E743" s="1">
        <v>44697</v>
      </c>
      <c r="F743" t="s">
        <v>14</v>
      </c>
      <c r="G743">
        <v>6012</v>
      </c>
      <c r="H743">
        <v>965</v>
      </c>
      <c r="I743">
        <v>2.27</v>
      </c>
      <c r="J743">
        <v>50</v>
      </c>
      <c r="M743">
        <f t="shared" ca="1" si="44"/>
        <v>1152</v>
      </c>
      <c r="N743" s="3" t="str" cm="1">
        <f t="array" ref="N743">_xlfn.IFS(I743&gt;=3.5,"Excellent",I743&gt;=3,"Good",I743&gt;=2,"Average",I743&lt;2,"Poor")</f>
        <v>Average</v>
      </c>
      <c r="P743" t="str">
        <f t="shared" si="45"/>
        <v/>
      </c>
      <c r="Q743">
        <f t="shared" si="46"/>
        <v>306329</v>
      </c>
      <c r="R743">
        <v>2022</v>
      </c>
      <c r="X743" t="str">
        <f t="shared" ca="1" si="47"/>
        <v/>
      </c>
    </row>
    <row r="744" spans="1:24" x14ac:dyDescent="0.25">
      <c r="A744" t="s">
        <v>1509</v>
      </c>
      <c r="B744" t="s">
        <v>1510</v>
      </c>
      <c r="C744" t="s">
        <v>25</v>
      </c>
      <c r="D744" t="s">
        <v>13</v>
      </c>
      <c r="E744" s="1">
        <v>45148</v>
      </c>
      <c r="F744" t="s">
        <v>14</v>
      </c>
      <c r="G744">
        <v>12717</v>
      </c>
      <c r="H744">
        <v>5005</v>
      </c>
      <c r="I744">
        <v>3.55</v>
      </c>
      <c r="J744">
        <v>61</v>
      </c>
      <c r="M744">
        <f t="shared" ca="1" si="44"/>
        <v>701</v>
      </c>
      <c r="N744" s="3" t="str" cm="1">
        <f t="array" ref="N744">_xlfn.IFS(I744&gt;=3.5,"Excellent",I744&gt;=3,"Good",I744&gt;=2,"Average",I744&lt;2,"Poor")</f>
        <v>Excellent</v>
      </c>
      <c r="P744" t="str">
        <f t="shared" si="45"/>
        <v/>
      </c>
      <c r="Q744">
        <f t="shared" si="46"/>
        <v>306329</v>
      </c>
      <c r="R744">
        <v>2023</v>
      </c>
      <c r="X744" t="str">
        <f t="shared" ca="1" si="47"/>
        <v/>
      </c>
    </row>
    <row r="745" spans="1:24" x14ac:dyDescent="0.25">
      <c r="A745" t="s">
        <v>1511</v>
      </c>
      <c r="B745" t="s">
        <v>1512</v>
      </c>
      <c r="C745" t="s">
        <v>28</v>
      </c>
      <c r="D745" t="s">
        <v>18</v>
      </c>
      <c r="E745" s="1">
        <v>45062</v>
      </c>
      <c r="F745" t="s">
        <v>14</v>
      </c>
      <c r="G745">
        <v>5344</v>
      </c>
      <c r="H745">
        <v>2596</v>
      </c>
      <c r="I745">
        <v>2.97</v>
      </c>
      <c r="J745">
        <v>108</v>
      </c>
      <c r="M745">
        <f t="shared" ca="1" si="44"/>
        <v>787</v>
      </c>
      <c r="N745" s="3" t="str" cm="1">
        <f t="array" ref="N745">_xlfn.IFS(I745&gt;=3.5,"Excellent",I745&gt;=3,"Good",I745&gt;=2,"Average",I745&lt;2,"Poor")</f>
        <v>Average</v>
      </c>
      <c r="P745" t="str">
        <f t="shared" si="45"/>
        <v/>
      </c>
      <c r="Q745">
        <f t="shared" si="46"/>
        <v>306329</v>
      </c>
      <c r="R745">
        <v>2023</v>
      </c>
      <c r="X745" t="str">
        <f t="shared" ca="1" si="47"/>
        <v/>
      </c>
    </row>
    <row r="746" spans="1:24" x14ac:dyDescent="0.25">
      <c r="A746" t="s">
        <v>1513</v>
      </c>
      <c r="B746" t="s">
        <v>1514</v>
      </c>
      <c r="C746" t="s">
        <v>54</v>
      </c>
      <c r="D746" t="s">
        <v>62</v>
      </c>
      <c r="E746" s="1">
        <v>44804</v>
      </c>
      <c r="F746" t="s">
        <v>14</v>
      </c>
      <c r="G746">
        <v>2025</v>
      </c>
      <c r="H746">
        <v>1760</v>
      </c>
      <c r="I746">
        <v>3.27</v>
      </c>
      <c r="J746">
        <v>23</v>
      </c>
      <c r="M746">
        <f t="shared" ca="1" si="44"/>
        <v>1045</v>
      </c>
      <c r="N746" s="3" t="str" cm="1">
        <f t="array" ref="N746">_xlfn.IFS(I746&gt;=3.5,"Excellent",I746&gt;=3,"Good",I746&gt;=2,"Average",I746&lt;2,"Poor")</f>
        <v>Good</v>
      </c>
      <c r="P746" t="str">
        <f t="shared" si="45"/>
        <v>True</v>
      </c>
      <c r="Q746">
        <f t="shared" si="46"/>
        <v>306329</v>
      </c>
      <c r="R746">
        <v>2022</v>
      </c>
      <c r="X746" t="str">
        <f t="shared" ca="1" si="47"/>
        <v/>
      </c>
    </row>
    <row r="747" spans="1:24" x14ac:dyDescent="0.25">
      <c r="A747" t="s">
        <v>1515</v>
      </c>
      <c r="B747" t="s">
        <v>1516</v>
      </c>
      <c r="C747" t="s">
        <v>17</v>
      </c>
      <c r="D747" t="s">
        <v>31</v>
      </c>
      <c r="E747" s="1">
        <v>44851</v>
      </c>
      <c r="F747" t="s">
        <v>14</v>
      </c>
      <c r="G747">
        <v>13185</v>
      </c>
      <c r="H747">
        <v>8241</v>
      </c>
      <c r="I747">
        <v>3.51</v>
      </c>
      <c r="J747">
        <v>55</v>
      </c>
      <c r="M747">
        <f t="shared" ca="1" si="44"/>
        <v>998</v>
      </c>
      <c r="N747" s="3" t="str" cm="1">
        <f t="array" ref="N747">_xlfn.IFS(I747&gt;=3.5,"Excellent",I747&gt;=3,"Good",I747&gt;=2,"Average",I747&lt;2,"Poor")</f>
        <v>Excellent</v>
      </c>
      <c r="P747" t="str">
        <f t="shared" si="45"/>
        <v>True</v>
      </c>
      <c r="Q747">
        <f t="shared" si="46"/>
        <v>306329</v>
      </c>
      <c r="R747">
        <v>2022</v>
      </c>
      <c r="X747" t="str">
        <f t="shared" ca="1" si="47"/>
        <v/>
      </c>
    </row>
    <row r="748" spans="1:24" x14ac:dyDescent="0.25">
      <c r="A748" t="s">
        <v>1517</v>
      </c>
      <c r="B748" t="s">
        <v>1518</v>
      </c>
      <c r="C748" t="s">
        <v>57</v>
      </c>
      <c r="D748" t="s">
        <v>13</v>
      </c>
      <c r="E748" s="1">
        <v>45369</v>
      </c>
      <c r="F748" t="s">
        <v>14</v>
      </c>
      <c r="G748">
        <v>3683</v>
      </c>
      <c r="H748">
        <v>377</v>
      </c>
      <c r="I748">
        <v>2.8</v>
      </c>
      <c r="J748">
        <v>9</v>
      </c>
      <c r="M748">
        <f t="shared" ca="1" si="44"/>
        <v>480</v>
      </c>
      <c r="N748" s="3" t="str" cm="1">
        <f t="array" ref="N748">_xlfn.IFS(I748&gt;=3.5,"Excellent",I748&gt;=3,"Good",I748&gt;=2,"Average",I748&lt;2,"Poor")</f>
        <v>Average</v>
      </c>
      <c r="P748" t="str">
        <f t="shared" si="45"/>
        <v/>
      </c>
      <c r="Q748">
        <f t="shared" si="46"/>
        <v>306329</v>
      </c>
      <c r="R748">
        <v>2024</v>
      </c>
      <c r="X748" t="str">
        <f t="shared" ca="1" si="47"/>
        <v/>
      </c>
    </row>
    <row r="749" spans="1:24" x14ac:dyDescent="0.25">
      <c r="A749" t="s">
        <v>1519</v>
      </c>
      <c r="B749" t="s">
        <v>1520</v>
      </c>
      <c r="C749" t="s">
        <v>17</v>
      </c>
      <c r="D749" t="s">
        <v>62</v>
      </c>
      <c r="E749" s="1">
        <v>45087</v>
      </c>
      <c r="F749" t="s">
        <v>14</v>
      </c>
      <c r="G749">
        <v>6337</v>
      </c>
      <c r="H749">
        <v>3748</v>
      </c>
      <c r="I749">
        <v>2.79</v>
      </c>
      <c r="J749">
        <v>38</v>
      </c>
      <c r="M749">
        <f t="shared" ca="1" si="44"/>
        <v>762</v>
      </c>
      <c r="N749" s="3" t="str" cm="1">
        <f t="array" ref="N749">_xlfn.IFS(I749&gt;=3.5,"Excellent",I749&gt;=3,"Good",I749&gt;=2,"Average",I749&lt;2,"Poor")</f>
        <v>Average</v>
      </c>
      <c r="P749" t="str">
        <f t="shared" si="45"/>
        <v>True</v>
      </c>
      <c r="Q749">
        <f t="shared" si="46"/>
        <v>306329</v>
      </c>
      <c r="R749">
        <v>2023</v>
      </c>
      <c r="X749" t="str">
        <f t="shared" ca="1" si="47"/>
        <v/>
      </c>
    </row>
    <row r="750" spans="1:24" x14ac:dyDescent="0.25">
      <c r="A750" t="s">
        <v>1521</v>
      </c>
      <c r="B750" t="s">
        <v>1522</v>
      </c>
      <c r="C750" t="s">
        <v>28</v>
      </c>
      <c r="D750" t="s">
        <v>13</v>
      </c>
      <c r="E750" s="1">
        <v>44824</v>
      </c>
      <c r="F750" t="s">
        <v>14</v>
      </c>
      <c r="G750">
        <v>10576</v>
      </c>
      <c r="H750">
        <v>4900</v>
      </c>
      <c r="I750">
        <v>3.87</v>
      </c>
      <c r="J750">
        <v>12</v>
      </c>
      <c r="M750">
        <f t="shared" ca="1" si="44"/>
        <v>1025</v>
      </c>
      <c r="N750" s="3" t="str" cm="1">
        <f t="array" ref="N750">_xlfn.IFS(I750&gt;=3.5,"Excellent",I750&gt;=3,"Good",I750&gt;=2,"Average",I750&lt;2,"Poor")</f>
        <v>Excellent</v>
      </c>
      <c r="P750" t="str">
        <f t="shared" si="45"/>
        <v/>
      </c>
      <c r="Q750">
        <f t="shared" si="46"/>
        <v>306329</v>
      </c>
      <c r="R750">
        <v>2022</v>
      </c>
      <c r="X750" t="str">
        <f t="shared" ca="1" si="47"/>
        <v/>
      </c>
    </row>
    <row r="751" spans="1:24" x14ac:dyDescent="0.25">
      <c r="A751" t="s">
        <v>1523</v>
      </c>
      <c r="B751" t="s">
        <v>1524</v>
      </c>
      <c r="C751" t="s">
        <v>57</v>
      </c>
      <c r="D751" t="s">
        <v>31</v>
      </c>
      <c r="E751" s="1">
        <v>45082</v>
      </c>
      <c r="F751" t="s">
        <v>19</v>
      </c>
      <c r="G751">
        <v>13691</v>
      </c>
      <c r="H751">
        <v>883</v>
      </c>
      <c r="I751">
        <v>2.06</v>
      </c>
      <c r="J751">
        <v>76</v>
      </c>
      <c r="M751" t="str">
        <f t="shared" ca="1" si="44"/>
        <v/>
      </c>
      <c r="N751" s="3" t="str" cm="1">
        <f t="array" ref="N751">_xlfn.IFS(I751&gt;=3.5,"Excellent",I751&gt;=3,"Good",I751&gt;=2,"Average",I751&lt;2,"Poor")</f>
        <v>Average</v>
      </c>
      <c r="P751" t="str">
        <f t="shared" si="45"/>
        <v/>
      </c>
      <c r="Q751">
        <f t="shared" si="46"/>
        <v>306329</v>
      </c>
      <c r="R751">
        <v>2023</v>
      </c>
      <c r="X751">
        <f t="shared" ca="1" si="47"/>
        <v>767</v>
      </c>
    </row>
    <row r="752" spans="1:24" x14ac:dyDescent="0.25">
      <c r="A752" t="s">
        <v>1525</v>
      </c>
      <c r="B752" t="s">
        <v>1526</v>
      </c>
      <c r="C752" t="s">
        <v>57</v>
      </c>
      <c r="D752" t="s">
        <v>18</v>
      </c>
      <c r="E752" s="1">
        <v>45379</v>
      </c>
      <c r="F752" t="s">
        <v>14</v>
      </c>
      <c r="G752">
        <v>10341</v>
      </c>
      <c r="H752">
        <v>7548</v>
      </c>
      <c r="I752">
        <v>2.59</v>
      </c>
      <c r="J752">
        <v>55</v>
      </c>
      <c r="M752">
        <f t="shared" ca="1" si="44"/>
        <v>470</v>
      </c>
      <c r="N752" s="3" t="str" cm="1">
        <f t="array" ref="N752">_xlfn.IFS(I752&gt;=3.5,"Excellent",I752&gt;=3,"Good",I752&gt;=2,"Average",I752&lt;2,"Poor")</f>
        <v>Average</v>
      </c>
      <c r="P752" t="str">
        <f t="shared" si="45"/>
        <v>True</v>
      </c>
      <c r="Q752">
        <f t="shared" si="46"/>
        <v>306329</v>
      </c>
      <c r="R752">
        <v>2024</v>
      </c>
      <c r="X752" t="str">
        <f t="shared" ca="1" si="47"/>
        <v/>
      </c>
    </row>
    <row r="753" spans="1:24" x14ac:dyDescent="0.25">
      <c r="A753" t="s">
        <v>1527</v>
      </c>
      <c r="B753" t="s">
        <v>1528</v>
      </c>
      <c r="C753" t="s">
        <v>57</v>
      </c>
      <c r="D753" t="s">
        <v>18</v>
      </c>
      <c r="E753" s="1">
        <v>44573</v>
      </c>
      <c r="F753" t="s">
        <v>14</v>
      </c>
      <c r="G753">
        <v>6833</v>
      </c>
      <c r="H753">
        <v>3054</v>
      </c>
      <c r="I753">
        <v>3.59</v>
      </c>
      <c r="J753">
        <v>100</v>
      </c>
      <c r="M753">
        <f t="shared" ca="1" si="44"/>
        <v>1276</v>
      </c>
      <c r="N753" s="3" t="str" cm="1">
        <f t="array" ref="N753">_xlfn.IFS(I753&gt;=3.5,"Excellent",I753&gt;=3,"Good",I753&gt;=2,"Average",I753&lt;2,"Poor")</f>
        <v>Excellent</v>
      </c>
      <c r="P753" t="str">
        <f t="shared" si="45"/>
        <v/>
      </c>
      <c r="Q753">
        <f t="shared" si="46"/>
        <v>306329</v>
      </c>
      <c r="R753">
        <v>2022</v>
      </c>
      <c r="X753" t="str">
        <f t="shared" ca="1" si="47"/>
        <v/>
      </c>
    </row>
    <row r="754" spans="1:24" x14ac:dyDescent="0.25">
      <c r="A754" t="s">
        <v>1529</v>
      </c>
      <c r="B754" t="s">
        <v>1530</v>
      </c>
      <c r="C754" t="s">
        <v>22</v>
      </c>
      <c r="D754" t="s">
        <v>62</v>
      </c>
      <c r="E754" s="1">
        <v>45300</v>
      </c>
      <c r="F754" t="s">
        <v>14</v>
      </c>
      <c r="G754">
        <v>11055</v>
      </c>
      <c r="H754">
        <v>9037</v>
      </c>
      <c r="I754">
        <v>3.57</v>
      </c>
      <c r="J754">
        <v>60</v>
      </c>
      <c r="M754">
        <f t="shared" ca="1" si="44"/>
        <v>549</v>
      </c>
      <c r="N754" s="3" t="str" cm="1">
        <f t="array" ref="N754">_xlfn.IFS(I754&gt;=3.5,"Excellent",I754&gt;=3,"Good",I754&gt;=2,"Average",I754&lt;2,"Poor")</f>
        <v>Excellent</v>
      </c>
      <c r="P754" t="str">
        <f t="shared" si="45"/>
        <v>True</v>
      </c>
      <c r="Q754">
        <f t="shared" si="46"/>
        <v>306329</v>
      </c>
      <c r="R754">
        <v>2024</v>
      </c>
      <c r="X754" t="str">
        <f t="shared" ca="1" si="47"/>
        <v/>
      </c>
    </row>
    <row r="755" spans="1:24" x14ac:dyDescent="0.25">
      <c r="A755" t="s">
        <v>1531</v>
      </c>
      <c r="B755" t="s">
        <v>1532</v>
      </c>
      <c r="C755" t="s">
        <v>57</v>
      </c>
      <c r="D755" t="s">
        <v>62</v>
      </c>
      <c r="E755" s="1">
        <v>44895</v>
      </c>
      <c r="F755" t="s">
        <v>14</v>
      </c>
      <c r="G755">
        <v>4932</v>
      </c>
      <c r="H755">
        <v>5140</v>
      </c>
      <c r="I755">
        <v>2.15</v>
      </c>
      <c r="J755">
        <v>16</v>
      </c>
      <c r="M755">
        <f t="shared" ca="1" si="44"/>
        <v>954</v>
      </c>
      <c r="N755" s="3" t="str" cm="1">
        <f t="array" ref="N755">_xlfn.IFS(I755&gt;=3.5,"Excellent",I755&gt;=3,"Good",I755&gt;=2,"Average",I755&lt;2,"Poor")</f>
        <v>Average</v>
      </c>
      <c r="P755" t="str">
        <f t="shared" si="45"/>
        <v>True</v>
      </c>
      <c r="Q755">
        <f t="shared" si="46"/>
        <v>306329</v>
      </c>
      <c r="R755">
        <v>2022</v>
      </c>
      <c r="X755" t="str">
        <f t="shared" ca="1" si="47"/>
        <v/>
      </c>
    </row>
    <row r="756" spans="1:24" x14ac:dyDescent="0.25">
      <c r="A756" t="s">
        <v>1533</v>
      </c>
      <c r="B756" t="s">
        <v>1534</v>
      </c>
      <c r="C756" t="s">
        <v>22</v>
      </c>
      <c r="D756" t="s">
        <v>62</v>
      </c>
      <c r="E756" s="1">
        <v>45444</v>
      </c>
      <c r="F756" t="s">
        <v>14</v>
      </c>
      <c r="G756">
        <v>11129</v>
      </c>
      <c r="H756">
        <v>7535</v>
      </c>
      <c r="I756">
        <v>2.5499999999999998</v>
      </c>
      <c r="J756">
        <v>103</v>
      </c>
      <c r="M756">
        <f t="shared" ca="1" si="44"/>
        <v>405</v>
      </c>
      <c r="N756" s="3" t="str" cm="1">
        <f t="array" ref="N756">_xlfn.IFS(I756&gt;=3.5,"Excellent",I756&gt;=3,"Good",I756&gt;=2,"Average",I756&lt;2,"Poor")</f>
        <v>Average</v>
      </c>
      <c r="P756" t="str">
        <f t="shared" si="45"/>
        <v>True</v>
      </c>
      <c r="Q756">
        <f t="shared" si="46"/>
        <v>306329</v>
      </c>
      <c r="R756">
        <v>2024</v>
      </c>
      <c r="X756" t="str">
        <f t="shared" ca="1" si="47"/>
        <v/>
      </c>
    </row>
    <row r="757" spans="1:24" x14ac:dyDescent="0.25">
      <c r="A757" t="s">
        <v>1535</v>
      </c>
      <c r="B757" t="s">
        <v>1536</v>
      </c>
      <c r="C757" t="s">
        <v>28</v>
      </c>
      <c r="D757" t="s">
        <v>13</v>
      </c>
      <c r="E757" s="1">
        <v>44862</v>
      </c>
      <c r="F757" t="s">
        <v>39</v>
      </c>
      <c r="G757">
        <v>6819</v>
      </c>
      <c r="H757">
        <v>1912</v>
      </c>
      <c r="I757">
        <v>3.5</v>
      </c>
      <c r="J757">
        <v>106</v>
      </c>
      <c r="M757" t="str">
        <f t="shared" ca="1" si="44"/>
        <v/>
      </c>
      <c r="N757" s="3" t="str" cm="1">
        <f t="array" ref="N757">_xlfn.IFS(I757&gt;=3.5,"Excellent",I757&gt;=3,"Good",I757&gt;=2,"Average",I757&lt;2,"Poor")</f>
        <v>Excellent</v>
      </c>
      <c r="P757" t="str">
        <f t="shared" si="45"/>
        <v/>
      </c>
      <c r="Q757">
        <f t="shared" si="46"/>
        <v>306329</v>
      </c>
      <c r="R757">
        <v>2022</v>
      </c>
      <c r="X757" t="str">
        <f t="shared" ca="1" si="47"/>
        <v/>
      </c>
    </row>
    <row r="758" spans="1:24" x14ac:dyDescent="0.25">
      <c r="A758" t="s">
        <v>1537</v>
      </c>
      <c r="B758" t="s">
        <v>1538</v>
      </c>
      <c r="C758" t="s">
        <v>28</v>
      </c>
      <c r="D758" t="s">
        <v>13</v>
      </c>
      <c r="E758" s="1">
        <v>44843</v>
      </c>
      <c r="F758" t="s">
        <v>19</v>
      </c>
      <c r="G758">
        <v>2016</v>
      </c>
      <c r="H758">
        <v>3726</v>
      </c>
      <c r="I758">
        <v>2.34</v>
      </c>
      <c r="J758">
        <v>68</v>
      </c>
      <c r="M758" t="str">
        <f t="shared" ca="1" si="44"/>
        <v/>
      </c>
      <c r="N758" s="3" t="str" cm="1">
        <f t="array" ref="N758">_xlfn.IFS(I758&gt;=3.5,"Excellent",I758&gt;=3,"Good",I758&gt;=2,"Average",I758&lt;2,"Poor")</f>
        <v>Average</v>
      </c>
      <c r="P758" t="str">
        <f t="shared" si="45"/>
        <v>True</v>
      </c>
      <c r="Q758">
        <f t="shared" si="46"/>
        <v>306329</v>
      </c>
      <c r="R758">
        <v>2022</v>
      </c>
      <c r="X758">
        <f t="shared" ca="1" si="47"/>
        <v>1006</v>
      </c>
    </row>
    <row r="759" spans="1:24" x14ac:dyDescent="0.25">
      <c r="A759" t="s">
        <v>1539</v>
      </c>
      <c r="B759" t="s">
        <v>1540</v>
      </c>
      <c r="C759" t="s">
        <v>57</v>
      </c>
      <c r="D759" t="s">
        <v>31</v>
      </c>
      <c r="E759" s="1">
        <v>44686</v>
      </c>
      <c r="F759" t="s">
        <v>19</v>
      </c>
      <c r="G759">
        <v>4792</v>
      </c>
      <c r="H759">
        <v>8258</v>
      </c>
      <c r="I759">
        <v>2.34</v>
      </c>
      <c r="J759">
        <v>62</v>
      </c>
      <c r="M759" t="str">
        <f t="shared" ca="1" si="44"/>
        <v/>
      </c>
      <c r="N759" s="3" t="str" cm="1">
        <f t="array" ref="N759">_xlfn.IFS(I759&gt;=3.5,"Excellent",I759&gt;=3,"Good",I759&gt;=2,"Average",I759&lt;2,"Poor")</f>
        <v>Average</v>
      </c>
      <c r="P759" t="str">
        <f t="shared" si="45"/>
        <v>True</v>
      </c>
      <c r="Q759">
        <f t="shared" si="46"/>
        <v>306329</v>
      </c>
      <c r="R759">
        <v>2022</v>
      </c>
      <c r="X759">
        <f t="shared" ca="1" si="47"/>
        <v>1163</v>
      </c>
    </row>
    <row r="760" spans="1:24" x14ac:dyDescent="0.25">
      <c r="A760" t="s">
        <v>1541</v>
      </c>
      <c r="B760" t="s">
        <v>1542</v>
      </c>
      <c r="C760" t="s">
        <v>57</v>
      </c>
      <c r="D760" t="s">
        <v>31</v>
      </c>
      <c r="E760" s="1">
        <v>44713</v>
      </c>
      <c r="F760" t="s">
        <v>19</v>
      </c>
      <c r="G760">
        <v>11623</v>
      </c>
      <c r="H760">
        <v>4266</v>
      </c>
      <c r="I760">
        <v>2.66</v>
      </c>
      <c r="J760">
        <v>104</v>
      </c>
      <c r="M760" t="str">
        <f t="shared" ca="1" si="44"/>
        <v/>
      </c>
      <c r="N760" s="3" t="str" cm="1">
        <f t="array" ref="N760">_xlfn.IFS(I760&gt;=3.5,"Excellent",I760&gt;=3,"Good",I760&gt;=2,"Average",I760&lt;2,"Poor")</f>
        <v>Average</v>
      </c>
      <c r="P760" t="str">
        <f t="shared" si="45"/>
        <v/>
      </c>
      <c r="Q760">
        <f t="shared" si="46"/>
        <v>306329</v>
      </c>
      <c r="R760">
        <v>2022</v>
      </c>
      <c r="X760">
        <f t="shared" ca="1" si="47"/>
        <v>1136</v>
      </c>
    </row>
    <row r="761" spans="1:24" x14ac:dyDescent="0.25">
      <c r="A761" t="s">
        <v>1543</v>
      </c>
      <c r="B761" t="s">
        <v>1544</v>
      </c>
      <c r="C761" t="s">
        <v>25</v>
      </c>
      <c r="D761" t="s">
        <v>31</v>
      </c>
      <c r="E761" s="1">
        <v>44912</v>
      </c>
      <c r="F761" t="s">
        <v>14</v>
      </c>
      <c r="G761">
        <v>8319</v>
      </c>
      <c r="H761">
        <v>8308</v>
      </c>
      <c r="I761">
        <v>2.27</v>
      </c>
      <c r="J761">
        <v>50</v>
      </c>
      <c r="M761">
        <f t="shared" ca="1" si="44"/>
        <v>937</v>
      </c>
      <c r="N761" s="3" t="str" cm="1">
        <f t="array" ref="N761">_xlfn.IFS(I761&gt;=3.5,"Excellent",I761&gt;=3,"Good",I761&gt;=2,"Average",I761&lt;2,"Poor")</f>
        <v>Average</v>
      </c>
      <c r="P761" t="str">
        <f t="shared" si="45"/>
        <v>True</v>
      </c>
      <c r="Q761">
        <f t="shared" si="46"/>
        <v>306329</v>
      </c>
      <c r="R761">
        <v>2022</v>
      </c>
      <c r="X761" t="str">
        <f t="shared" ca="1" si="47"/>
        <v/>
      </c>
    </row>
    <row r="762" spans="1:24" x14ac:dyDescent="0.25">
      <c r="A762" t="s">
        <v>1545</v>
      </c>
      <c r="B762" t="s">
        <v>1546</v>
      </c>
      <c r="C762" t="s">
        <v>12</v>
      </c>
      <c r="D762" t="s">
        <v>13</v>
      </c>
      <c r="E762" s="1">
        <v>45045</v>
      </c>
      <c r="F762" t="s">
        <v>14</v>
      </c>
      <c r="G762">
        <v>8191</v>
      </c>
      <c r="H762">
        <v>3306</v>
      </c>
      <c r="I762">
        <v>2.2400000000000002</v>
      </c>
      <c r="J762">
        <v>73</v>
      </c>
      <c r="M762">
        <f t="shared" ca="1" si="44"/>
        <v>804</v>
      </c>
      <c r="N762" s="3" t="str" cm="1">
        <f t="array" ref="N762">_xlfn.IFS(I762&gt;=3.5,"Excellent",I762&gt;=3,"Good",I762&gt;=2,"Average",I762&lt;2,"Poor")</f>
        <v>Average</v>
      </c>
      <c r="P762" t="str">
        <f t="shared" si="45"/>
        <v/>
      </c>
      <c r="Q762">
        <f t="shared" si="46"/>
        <v>306329</v>
      </c>
      <c r="R762">
        <v>2023</v>
      </c>
      <c r="X762" t="str">
        <f t="shared" ca="1" si="47"/>
        <v/>
      </c>
    </row>
    <row r="763" spans="1:24" x14ac:dyDescent="0.25">
      <c r="A763" t="s">
        <v>1547</v>
      </c>
      <c r="B763" t="s">
        <v>1548</v>
      </c>
      <c r="C763" t="s">
        <v>22</v>
      </c>
      <c r="D763" t="s">
        <v>13</v>
      </c>
      <c r="E763" s="1">
        <v>44802</v>
      </c>
      <c r="F763" t="s">
        <v>14</v>
      </c>
      <c r="G763">
        <v>7244</v>
      </c>
      <c r="H763">
        <v>2886</v>
      </c>
      <c r="I763">
        <v>3.52</v>
      </c>
      <c r="J763">
        <v>57</v>
      </c>
      <c r="M763">
        <f t="shared" ca="1" si="44"/>
        <v>1047</v>
      </c>
      <c r="N763" s="3" t="str" cm="1">
        <f t="array" ref="N763">_xlfn.IFS(I763&gt;=3.5,"Excellent",I763&gt;=3,"Good",I763&gt;=2,"Average",I763&lt;2,"Poor")</f>
        <v>Excellent</v>
      </c>
      <c r="P763" t="str">
        <f t="shared" si="45"/>
        <v/>
      </c>
      <c r="Q763">
        <f t="shared" si="46"/>
        <v>306329</v>
      </c>
      <c r="R763">
        <v>2022</v>
      </c>
      <c r="X763" t="str">
        <f t="shared" ca="1" si="47"/>
        <v/>
      </c>
    </row>
    <row r="764" spans="1:24" x14ac:dyDescent="0.25">
      <c r="A764" t="s">
        <v>1549</v>
      </c>
      <c r="B764" t="s">
        <v>1550</v>
      </c>
      <c r="C764" t="s">
        <v>25</v>
      </c>
      <c r="D764" t="s">
        <v>13</v>
      </c>
      <c r="E764" s="1">
        <v>44787</v>
      </c>
      <c r="F764" t="s">
        <v>14</v>
      </c>
      <c r="G764">
        <v>9367</v>
      </c>
      <c r="H764">
        <v>4635</v>
      </c>
      <c r="I764">
        <v>3.44</v>
      </c>
      <c r="J764">
        <v>74</v>
      </c>
      <c r="M764">
        <f t="shared" ca="1" si="44"/>
        <v>1062</v>
      </c>
      <c r="N764" s="3" t="str" cm="1">
        <f t="array" ref="N764">_xlfn.IFS(I764&gt;=3.5,"Excellent",I764&gt;=3,"Good",I764&gt;=2,"Average",I764&lt;2,"Poor")</f>
        <v>Good</v>
      </c>
      <c r="P764" t="str">
        <f t="shared" si="45"/>
        <v/>
      </c>
      <c r="Q764">
        <f t="shared" si="46"/>
        <v>306329</v>
      </c>
      <c r="R764">
        <v>2022</v>
      </c>
      <c r="X764" t="str">
        <f t="shared" ca="1" si="47"/>
        <v/>
      </c>
    </row>
    <row r="765" spans="1:24" x14ac:dyDescent="0.25">
      <c r="A765" t="s">
        <v>1551</v>
      </c>
      <c r="B765" t="s">
        <v>1552</v>
      </c>
      <c r="C765" t="s">
        <v>25</v>
      </c>
      <c r="D765" t="s">
        <v>13</v>
      </c>
      <c r="E765" s="1">
        <v>45311</v>
      </c>
      <c r="F765" t="s">
        <v>14</v>
      </c>
      <c r="G765">
        <v>10808</v>
      </c>
      <c r="H765">
        <v>7607</v>
      </c>
      <c r="I765">
        <v>3.05</v>
      </c>
      <c r="J765">
        <v>0</v>
      </c>
      <c r="M765">
        <f t="shared" ca="1" si="44"/>
        <v>538</v>
      </c>
      <c r="N765" s="3" t="str" cm="1">
        <f t="array" ref="N765">_xlfn.IFS(I765&gt;=3.5,"Excellent",I765&gt;=3,"Good",I765&gt;=2,"Average",I765&lt;2,"Poor")</f>
        <v>Good</v>
      </c>
      <c r="P765" t="str">
        <f t="shared" si="45"/>
        <v>True</v>
      </c>
      <c r="Q765">
        <f t="shared" si="46"/>
        <v>306329</v>
      </c>
      <c r="R765">
        <v>2024</v>
      </c>
      <c r="X765" t="str">
        <f t="shared" ca="1" si="47"/>
        <v/>
      </c>
    </row>
    <row r="766" spans="1:24" x14ac:dyDescent="0.25">
      <c r="A766" t="s">
        <v>1553</v>
      </c>
      <c r="B766" t="s">
        <v>1554</v>
      </c>
      <c r="C766" t="s">
        <v>28</v>
      </c>
      <c r="D766" t="s">
        <v>13</v>
      </c>
      <c r="E766" s="1">
        <v>45003</v>
      </c>
      <c r="F766" t="s">
        <v>14</v>
      </c>
      <c r="G766">
        <v>8446</v>
      </c>
      <c r="H766">
        <v>1368</v>
      </c>
      <c r="I766">
        <v>2.1</v>
      </c>
      <c r="J766">
        <v>112</v>
      </c>
      <c r="M766">
        <f t="shared" ca="1" si="44"/>
        <v>846</v>
      </c>
      <c r="N766" s="3" t="str" cm="1">
        <f t="array" ref="N766">_xlfn.IFS(I766&gt;=3.5,"Excellent",I766&gt;=3,"Good",I766&gt;=2,"Average",I766&lt;2,"Poor")</f>
        <v>Average</v>
      </c>
      <c r="P766" t="str">
        <f t="shared" si="45"/>
        <v/>
      </c>
      <c r="Q766">
        <f t="shared" si="46"/>
        <v>306329</v>
      </c>
      <c r="R766">
        <v>2023</v>
      </c>
      <c r="X766" t="str">
        <f t="shared" ca="1" si="47"/>
        <v/>
      </c>
    </row>
    <row r="767" spans="1:24" x14ac:dyDescent="0.25">
      <c r="A767" t="s">
        <v>1555</v>
      </c>
      <c r="B767" t="s">
        <v>1556</v>
      </c>
      <c r="C767" t="s">
        <v>28</v>
      </c>
      <c r="D767" t="s">
        <v>13</v>
      </c>
      <c r="E767" s="1">
        <v>45285</v>
      </c>
      <c r="F767" t="s">
        <v>14</v>
      </c>
      <c r="G767">
        <v>2490</v>
      </c>
      <c r="H767">
        <v>8720</v>
      </c>
      <c r="I767">
        <v>2.14</v>
      </c>
      <c r="J767">
        <v>12</v>
      </c>
      <c r="M767">
        <f t="shared" ca="1" si="44"/>
        <v>564</v>
      </c>
      <c r="N767" s="3" t="str" cm="1">
        <f t="array" ref="N767">_xlfn.IFS(I767&gt;=3.5,"Excellent",I767&gt;=3,"Good",I767&gt;=2,"Average",I767&lt;2,"Poor")</f>
        <v>Average</v>
      </c>
      <c r="P767" t="str">
        <f t="shared" si="45"/>
        <v>True</v>
      </c>
      <c r="Q767">
        <f t="shared" si="46"/>
        <v>306329</v>
      </c>
      <c r="R767">
        <v>2023</v>
      </c>
      <c r="X767" t="str">
        <f t="shared" ca="1" si="47"/>
        <v/>
      </c>
    </row>
    <row r="768" spans="1:24" x14ac:dyDescent="0.25">
      <c r="A768" t="s">
        <v>1557</v>
      </c>
      <c r="B768" t="s">
        <v>1558</v>
      </c>
      <c r="C768" t="s">
        <v>22</v>
      </c>
      <c r="D768" t="s">
        <v>31</v>
      </c>
      <c r="E768" s="1">
        <v>44728</v>
      </c>
      <c r="F768" t="s">
        <v>19</v>
      </c>
      <c r="G768">
        <v>11291</v>
      </c>
      <c r="H768">
        <v>3997</v>
      </c>
      <c r="I768">
        <v>2.1</v>
      </c>
      <c r="J768">
        <v>74</v>
      </c>
      <c r="M768" t="str">
        <f t="shared" ca="1" si="44"/>
        <v/>
      </c>
      <c r="N768" s="3" t="str" cm="1">
        <f t="array" ref="N768">_xlfn.IFS(I768&gt;=3.5,"Excellent",I768&gt;=3,"Good",I768&gt;=2,"Average",I768&lt;2,"Poor")</f>
        <v>Average</v>
      </c>
      <c r="P768" t="str">
        <f t="shared" si="45"/>
        <v/>
      </c>
      <c r="Q768">
        <f t="shared" si="46"/>
        <v>306329</v>
      </c>
      <c r="R768">
        <v>2022</v>
      </c>
      <c r="X768">
        <f t="shared" ca="1" si="47"/>
        <v>1121</v>
      </c>
    </row>
    <row r="769" spans="1:24" x14ac:dyDescent="0.25">
      <c r="A769" t="s">
        <v>1559</v>
      </c>
      <c r="B769" t="s">
        <v>1560</v>
      </c>
      <c r="C769" t="s">
        <v>28</v>
      </c>
      <c r="D769" t="s">
        <v>18</v>
      </c>
      <c r="E769" s="1">
        <v>44824</v>
      </c>
      <c r="F769" t="s">
        <v>14</v>
      </c>
      <c r="G769">
        <v>4470</v>
      </c>
      <c r="H769">
        <v>5720</v>
      </c>
      <c r="I769">
        <v>2.62</v>
      </c>
      <c r="J769">
        <v>24</v>
      </c>
      <c r="M769">
        <f t="shared" ca="1" si="44"/>
        <v>1025</v>
      </c>
      <c r="N769" s="3" t="str" cm="1">
        <f t="array" ref="N769">_xlfn.IFS(I769&gt;=3.5,"Excellent",I769&gt;=3,"Good",I769&gt;=2,"Average",I769&lt;2,"Poor")</f>
        <v>Average</v>
      </c>
      <c r="P769" t="str">
        <f t="shared" si="45"/>
        <v>True</v>
      </c>
      <c r="Q769">
        <f t="shared" si="46"/>
        <v>306329</v>
      </c>
      <c r="R769">
        <v>2022</v>
      </c>
      <c r="X769" t="str">
        <f t="shared" ca="1" si="47"/>
        <v/>
      </c>
    </row>
    <row r="770" spans="1:24" x14ac:dyDescent="0.25">
      <c r="A770" t="s">
        <v>1561</v>
      </c>
      <c r="B770" t="s">
        <v>1562</v>
      </c>
      <c r="C770" t="s">
        <v>22</v>
      </c>
      <c r="D770" t="s">
        <v>62</v>
      </c>
      <c r="E770" s="1">
        <v>45036</v>
      </c>
      <c r="F770" t="s">
        <v>39</v>
      </c>
      <c r="G770">
        <v>8068</v>
      </c>
      <c r="H770">
        <v>1190</v>
      </c>
      <c r="I770">
        <v>3.28</v>
      </c>
      <c r="J770">
        <v>39</v>
      </c>
      <c r="M770" t="str">
        <f t="shared" ca="1" si="44"/>
        <v/>
      </c>
      <c r="N770" s="3" t="str" cm="1">
        <f t="array" ref="N770">_xlfn.IFS(I770&gt;=3.5,"Excellent",I770&gt;=3,"Good",I770&gt;=2,"Average",I770&lt;2,"Poor")</f>
        <v>Good</v>
      </c>
      <c r="P770" t="str">
        <f t="shared" si="45"/>
        <v/>
      </c>
      <c r="Q770">
        <f t="shared" si="46"/>
        <v>306329</v>
      </c>
      <c r="R770">
        <v>2023</v>
      </c>
      <c r="X770" t="str">
        <f t="shared" ca="1" si="47"/>
        <v/>
      </c>
    </row>
    <row r="771" spans="1:24" x14ac:dyDescent="0.25">
      <c r="A771" t="s">
        <v>1563</v>
      </c>
      <c r="B771" t="s">
        <v>1564</v>
      </c>
      <c r="C771" t="s">
        <v>54</v>
      </c>
      <c r="D771" t="s">
        <v>18</v>
      </c>
      <c r="E771" s="1">
        <v>44765</v>
      </c>
      <c r="F771" t="s">
        <v>19</v>
      </c>
      <c r="G771">
        <v>2556</v>
      </c>
      <c r="H771">
        <v>3049</v>
      </c>
      <c r="I771">
        <v>3.23</v>
      </c>
      <c r="J771">
        <v>66</v>
      </c>
      <c r="M771" t="str">
        <f t="shared" ref="M771:M834" ca="1" si="48">IF(F771="Enrolled",TODAY()-E771,"")</f>
        <v/>
      </c>
      <c r="N771" s="3" t="str" cm="1">
        <f t="array" ref="N771">_xlfn.IFS(I771&gt;=3.5,"Excellent",I771&gt;=3,"Good",I771&gt;=2,"Average",I771&lt;2,"Poor")</f>
        <v>Good</v>
      </c>
      <c r="P771" t="str">
        <f t="shared" ref="P771:P834" si="49">IF(H771&gt;0.5*G771,"True","")</f>
        <v>True</v>
      </c>
      <c r="Q771">
        <f t="shared" ref="Q771:Q834" si="50">SUMIFS(G771:G1970,F771:F1970,"Completed",D771:D1970,"Science")</f>
        <v>306329</v>
      </c>
      <c r="R771">
        <v>2022</v>
      </c>
      <c r="X771">
        <f t="shared" ref="X771:X834" ca="1" si="51">IF(F771="Completed",TODAY()-E771,"")</f>
        <v>1084</v>
      </c>
    </row>
    <row r="772" spans="1:24" x14ac:dyDescent="0.25">
      <c r="A772" t="s">
        <v>1565</v>
      </c>
      <c r="B772" t="s">
        <v>1566</v>
      </c>
      <c r="C772" t="s">
        <v>17</v>
      </c>
      <c r="D772" t="s">
        <v>31</v>
      </c>
      <c r="E772" s="1">
        <v>45205</v>
      </c>
      <c r="F772" t="s">
        <v>19</v>
      </c>
      <c r="G772">
        <v>13388</v>
      </c>
      <c r="H772">
        <v>4708</v>
      </c>
      <c r="I772">
        <v>2.65</v>
      </c>
      <c r="J772">
        <v>114</v>
      </c>
      <c r="M772" t="str">
        <f t="shared" ca="1" si="48"/>
        <v/>
      </c>
      <c r="N772" s="3" t="str" cm="1">
        <f t="array" ref="N772">_xlfn.IFS(I772&gt;=3.5,"Excellent",I772&gt;=3,"Good",I772&gt;=2,"Average",I772&lt;2,"Poor")</f>
        <v>Average</v>
      </c>
      <c r="P772" t="str">
        <f t="shared" si="49"/>
        <v/>
      </c>
      <c r="Q772">
        <f t="shared" si="50"/>
        <v>303773</v>
      </c>
      <c r="R772">
        <v>2023</v>
      </c>
      <c r="X772">
        <f t="shared" ca="1" si="51"/>
        <v>644</v>
      </c>
    </row>
    <row r="773" spans="1:24" x14ac:dyDescent="0.25">
      <c r="A773" t="s">
        <v>1567</v>
      </c>
      <c r="B773" t="s">
        <v>1568</v>
      </c>
      <c r="C773" t="s">
        <v>22</v>
      </c>
      <c r="D773" t="s">
        <v>13</v>
      </c>
      <c r="E773" s="1">
        <v>45350</v>
      </c>
      <c r="F773" t="s">
        <v>14</v>
      </c>
      <c r="G773">
        <v>8490</v>
      </c>
      <c r="H773">
        <v>5406</v>
      </c>
      <c r="I773">
        <v>3.29</v>
      </c>
      <c r="J773">
        <v>51</v>
      </c>
      <c r="M773">
        <f t="shared" ca="1" si="48"/>
        <v>499</v>
      </c>
      <c r="N773" s="3" t="str" cm="1">
        <f t="array" ref="N773">_xlfn.IFS(I773&gt;=3.5,"Excellent",I773&gt;=3,"Good",I773&gt;=2,"Average",I773&lt;2,"Poor")</f>
        <v>Good</v>
      </c>
      <c r="P773" t="str">
        <f t="shared" si="49"/>
        <v>True</v>
      </c>
      <c r="Q773">
        <f t="shared" si="50"/>
        <v>303773</v>
      </c>
      <c r="R773">
        <v>2024</v>
      </c>
      <c r="X773" t="str">
        <f t="shared" ca="1" si="51"/>
        <v/>
      </c>
    </row>
    <row r="774" spans="1:24" x14ac:dyDescent="0.25">
      <c r="A774" t="s">
        <v>1569</v>
      </c>
      <c r="B774" t="s">
        <v>1570</v>
      </c>
      <c r="C774" t="s">
        <v>17</v>
      </c>
      <c r="D774" t="s">
        <v>31</v>
      </c>
      <c r="E774" s="1">
        <v>45355</v>
      </c>
      <c r="F774" t="s">
        <v>14</v>
      </c>
      <c r="G774">
        <v>5597</v>
      </c>
      <c r="H774">
        <v>449</v>
      </c>
      <c r="I774">
        <v>3.8</v>
      </c>
      <c r="J774">
        <v>106</v>
      </c>
      <c r="M774">
        <f t="shared" ca="1" si="48"/>
        <v>494</v>
      </c>
      <c r="N774" s="3" t="str" cm="1">
        <f t="array" ref="N774">_xlfn.IFS(I774&gt;=3.5,"Excellent",I774&gt;=3,"Good",I774&gt;=2,"Average",I774&lt;2,"Poor")</f>
        <v>Excellent</v>
      </c>
      <c r="P774" t="str">
        <f t="shared" si="49"/>
        <v/>
      </c>
      <c r="Q774">
        <f t="shared" si="50"/>
        <v>303773</v>
      </c>
      <c r="R774">
        <v>2024</v>
      </c>
      <c r="X774" t="str">
        <f t="shared" ca="1" si="51"/>
        <v/>
      </c>
    </row>
    <row r="775" spans="1:24" x14ac:dyDescent="0.25">
      <c r="A775" t="s">
        <v>1571</v>
      </c>
      <c r="B775" t="s">
        <v>1572</v>
      </c>
      <c r="C775" t="s">
        <v>36</v>
      </c>
      <c r="D775" t="s">
        <v>18</v>
      </c>
      <c r="E775" s="1">
        <v>44735</v>
      </c>
      <c r="F775" t="s">
        <v>19</v>
      </c>
      <c r="G775">
        <v>3334</v>
      </c>
      <c r="H775">
        <v>4265</v>
      </c>
      <c r="I775">
        <v>2.79</v>
      </c>
      <c r="J775">
        <v>49</v>
      </c>
      <c r="M775" t="str">
        <f t="shared" ca="1" si="48"/>
        <v/>
      </c>
      <c r="N775" s="3" t="str" cm="1">
        <f t="array" ref="N775">_xlfn.IFS(I775&gt;=3.5,"Excellent",I775&gt;=3,"Good",I775&gt;=2,"Average",I775&lt;2,"Poor")</f>
        <v>Average</v>
      </c>
      <c r="P775" t="str">
        <f t="shared" si="49"/>
        <v>True</v>
      </c>
      <c r="Q775">
        <f t="shared" si="50"/>
        <v>303773</v>
      </c>
      <c r="R775">
        <v>2022</v>
      </c>
      <c r="X775">
        <f t="shared" ca="1" si="51"/>
        <v>1114</v>
      </c>
    </row>
    <row r="776" spans="1:24" x14ac:dyDescent="0.25">
      <c r="A776" t="s">
        <v>1573</v>
      </c>
      <c r="B776" t="s">
        <v>1574</v>
      </c>
      <c r="C776" t="s">
        <v>25</v>
      </c>
      <c r="D776" t="s">
        <v>62</v>
      </c>
      <c r="E776" s="1">
        <v>44982</v>
      </c>
      <c r="F776" t="s">
        <v>14</v>
      </c>
      <c r="G776">
        <v>5127</v>
      </c>
      <c r="H776">
        <v>1138</v>
      </c>
      <c r="I776">
        <v>2.08</v>
      </c>
      <c r="J776">
        <v>109</v>
      </c>
      <c r="M776">
        <f t="shared" ca="1" si="48"/>
        <v>867</v>
      </c>
      <c r="N776" s="3" t="str" cm="1">
        <f t="array" ref="N776">_xlfn.IFS(I776&gt;=3.5,"Excellent",I776&gt;=3,"Good",I776&gt;=2,"Average",I776&lt;2,"Poor")</f>
        <v>Average</v>
      </c>
      <c r="P776" t="str">
        <f t="shared" si="49"/>
        <v/>
      </c>
      <c r="Q776">
        <f t="shared" si="50"/>
        <v>300439</v>
      </c>
      <c r="R776">
        <v>2023</v>
      </c>
      <c r="X776" t="str">
        <f t="shared" ca="1" si="51"/>
        <v/>
      </c>
    </row>
    <row r="777" spans="1:24" x14ac:dyDescent="0.25">
      <c r="A777" t="s">
        <v>1575</v>
      </c>
      <c r="B777" t="s">
        <v>1576</v>
      </c>
      <c r="C777" t="s">
        <v>17</v>
      </c>
      <c r="D777" t="s">
        <v>18</v>
      </c>
      <c r="E777" s="1">
        <v>45230</v>
      </c>
      <c r="F777" t="s">
        <v>19</v>
      </c>
      <c r="G777">
        <v>5285</v>
      </c>
      <c r="H777">
        <v>116</v>
      </c>
      <c r="I777">
        <v>2.82</v>
      </c>
      <c r="J777">
        <v>96</v>
      </c>
      <c r="M777" t="str">
        <f t="shared" ca="1" si="48"/>
        <v/>
      </c>
      <c r="N777" s="3" t="str" cm="1">
        <f t="array" ref="N777">_xlfn.IFS(I777&gt;=3.5,"Excellent",I777&gt;=3,"Good",I777&gt;=2,"Average",I777&lt;2,"Poor")</f>
        <v>Average</v>
      </c>
      <c r="P777" t="str">
        <f t="shared" si="49"/>
        <v/>
      </c>
      <c r="Q777">
        <f t="shared" si="50"/>
        <v>300439</v>
      </c>
      <c r="R777">
        <v>2023</v>
      </c>
      <c r="X777">
        <f t="shared" ca="1" si="51"/>
        <v>619</v>
      </c>
    </row>
    <row r="778" spans="1:24" x14ac:dyDescent="0.25">
      <c r="A778" t="s">
        <v>1577</v>
      </c>
      <c r="B778" t="s">
        <v>1578</v>
      </c>
      <c r="C778" t="s">
        <v>36</v>
      </c>
      <c r="D778" t="s">
        <v>13</v>
      </c>
      <c r="E778" s="1">
        <v>44622</v>
      </c>
      <c r="F778" t="s">
        <v>19</v>
      </c>
      <c r="G778">
        <v>13700</v>
      </c>
      <c r="H778">
        <v>9745</v>
      </c>
      <c r="I778">
        <v>3.99</v>
      </c>
      <c r="J778">
        <v>32</v>
      </c>
      <c r="M778" t="str">
        <f t="shared" ca="1" si="48"/>
        <v/>
      </c>
      <c r="N778" s="3" t="str" cm="1">
        <f t="array" ref="N778">_xlfn.IFS(I778&gt;=3.5,"Excellent",I778&gt;=3,"Good",I778&gt;=2,"Average",I778&lt;2,"Poor")</f>
        <v>Excellent</v>
      </c>
      <c r="P778" t="str">
        <f t="shared" si="49"/>
        <v>True</v>
      </c>
      <c r="Q778">
        <f t="shared" si="50"/>
        <v>295154</v>
      </c>
      <c r="R778">
        <v>2022</v>
      </c>
      <c r="X778">
        <f t="shared" ca="1" si="51"/>
        <v>1227</v>
      </c>
    </row>
    <row r="779" spans="1:24" x14ac:dyDescent="0.25">
      <c r="A779" t="s">
        <v>1579</v>
      </c>
      <c r="B779" t="s">
        <v>1580</v>
      </c>
      <c r="C779" t="s">
        <v>36</v>
      </c>
      <c r="D779" t="s">
        <v>31</v>
      </c>
      <c r="E779" s="1">
        <v>45248</v>
      </c>
      <c r="F779" t="s">
        <v>19</v>
      </c>
      <c r="G779">
        <v>5236</v>
      </c>
      <c r="H779">
        <v>2559</v>
      </c>
      <c r="I779">
        <v>2.0299999999999998</v>
      </c>
      <c r="J779">
        <v>28</v>
      </c>
      <c r="M779" t="str">
        <f t="shared" ca="1" si="48"/>
        <v/>
      </c>
      <c r="N779" s="3" t="str" cm="1">
        <f t="array" ref="N779">_xlfn.IFS(I779&gt;=3.5,"Excellent",I779&gt;=3,"Good",I779&gt;=2,"Average",I779&lt;2,"Poor")</f>
        <v>Average</v>
      </c>
      <c r="P779" t="str">
        <f t="shared" si="49"/>
        <v/>
      </c>
      <c r="Q779">
        <f t="shared" si="50"/>
        <v>295154</v>
      </c>
      <c r="R779">
        <v>2023</v>
      </c>
      <c r="X779">
        <f t="shared" ca="1" si="51"/>
        <v>601</v>
      </c>
    </row>
    <row r="780" spans="1:24" x14ac:dyDescent="0.25">
      <c r="A780" t="s">
        <v>1581</v>
      </c>
      <c r="B780" t="s">
        <v>1582</v>
      </c>
      <c r="C780" t="s">
        <v>28</v>
      </c>
      <c r="D780" t="s">
        <v>62</v>
      </c>
      <c r="E780" s="1">
        <v>44818</v>
      </c>
      <c r="F780" t="s">
        <v>14</v>
      </c>
      <c r="G780">
        <v>14446</v>
      </c>
      <c r="H780">
        <v>6710</v>
      </c>
      <c r="I780">
        <v>3.67</v>
      </c>
      <c r="J780">
        <v>20</v>
      </c>
      <c r="M780">
        <f t="shared" ca="1" si="48"/>
        <v>1031</v>
      </c>
      <c r="N780" s="3" t="str" cm="1">
        <f t="array" ref="N780">_xlfn.IFS(I780&gt;=3.5,"Excellent",I780&gt;=3,"Good",I780&gt;=2,"Average",I780&lt;2,"Poor")</f>
        <v>Excellent</v>
      </c>
      <c r="P780" t="str">
        <f t="shared" si="49"/>
        <v/>
      </c>
      <c r="Q780">
        <f t="shared" si="50"/>
        <v>295154</v>
      </c>
      <c r="R780">
        <v>2022</v>
      </c>
      <c r="X780" t="str">
        <f t="shared" ca="1" si="51"/>
        <v/>
      </c>
    </row>
    <row r="781" spans="1:24" x14ac:dyDescent="0.25">
      <c r="A781" t="s">
        <v>1583</v>
      </c>
      <c r="B781" t="s">
        <v>1584</v>
      </c>
      <c r="C781" t="s">
        <v>12</v>
      </c>
      <c r="D781" t="s">
        <v>31</v>
      </c>
      <c r="E781" s="1">
        <v>45293</v>
      </c>
      <c r="F781" t="s">
        <v>14</v>
      </c>
      <c r="G781">
        <v>9347</v>
      </c>
      <c r="H781">
        <v>931</v>
      </c>
      <c r="I781">
        <v>2.48</v>
      </c>
      <c r="J781">
        <v>77</v>
      </c>
      <c r="M781">
        <f t="shared" ca="1" si="48"/>
        <v>556</v>
      </c>
      <c r="N781" s="3" t="str" cm="1">
        <f t="array" ref="N781">_xlfn.IFS(I781&gt;=3.5,"Excellent",I781&gt;=3,"Good",I781&gt;=2,"Average",I781&lt;2,"Poor")</f>
        <v>Average</v>
      </c>
      <c r="P781" t="str">
        <f t="shared" si="49"/>
        <v/>
      </c>
      <c r="Q781">
        <f t="shared" si="50"/>
        <v>295154</v>
      </c>
      <c r="R781">
        <v>2024</v>
      </c>
      <c r="X781" t="str">
        <f t="shared" ca="1" si="51"/>
        <v/>
      </c>
    </row>
    <row r="782" spans="1:24" x14ac:dyDescent="0.25">
      <c r="A782" t="s">
        <v>1585</v>
      </c>
      <c r="B782" t="s">
        <v>1586</v>
      </c>
      <c r="C782" t="s">
        <v>25</v>
      </c>
      <c r="D782" t="s">
        <v>31</v>
      </c>
      <c r="E782" s="1">
        <v>44844</v>
      </c>
      <c r="F782" t="s">
        <v>14</v>
      </c>
      <c r="G782">
        <v>7036</v>
      </c>
      <c r="H782">
        <v>8702</v>
      </c>
      <c r="I782">
        <v>2.81</v>
      </c>
      <c r="J782">
        <v>92</v>
      </c>
      <c r="M782">
        <f t="shared" ca="1" si="48"/>
        <v>1005</v>
      </c>
      <c r="N782" s="3" t="str" cm="1">
        <f t="array" ref="N782">_xlfn.IFS(I782&gt;=3.5,"Excellent",I782&gt;=3,"Good",I782&gt;=2,"Average",I782&lt;2,"Poor")</f>
        <v>Average</v>
      </c>
      <c r="P782" t="str">
        <f t="shared" si="49"/>
        <v>True</v>
      </c>
      <c r="Q782">
        <f t="shared" si="50"/>
        <v>295154</v>
      </c>
      <c r="R782">
        <v>2022</v>
      </c>
      <c r="X782" t="str">
        <f t="shared" ca="1" si="51"/>
        <v/>
      </c>
    </row>
    <row r="783" spans="1:24" x14ac:dyDescent="0.25">
      <c r="A783" t="s">
        <v>1587</v>
      </c>
      <c r="B783" t="s">
        <v>1588</v>
      </c>
      <c r="C783" t="s">
        <v>17</v>
      </c>
      <c r="D783" t="s">
        <v>13</v>
      </c>
      <c r="E783" s="1">
        <v>45196</v>
      </c>
      <c r="F783" t="s">
        <v>39</v>
      </c>
      <c r="G783">
        <v>2807</v>
      </c>
      <c r="H783">
        <v>4412</v>
      </c>
      <c r="I783">
        <v>2.1</v>
      </c>
      <c r="J783">
        <v>17</v>
      </c>
      <c r="M783" t="str">
        <f t="shared" ca="1" si="48"/>
        <v/>
      </c>
      <c r="N783" s="3" t="str" cm="1">
        <f t="array" ref="N783">_xlfn.IFS(I783&gt;=3.5,"Excellent",I783&gt;=3,"Good",I783&gt;=2,"Average",I783&lt;2,"Poor")</f>
        <v>Average</v>
      </c>
      <c r="P783" t="str">
        <f t="shared" si="49"/>
        <v>True</v>
      </c>
      <c r="Q783">
        <f t="shared" si="50"/>
        <v>295154</v>
      </c>
      <c r="R783">
        <v>2023</v>
      </c>
      <c r="X783" t="str">
        <f t="shared" ca="1" si="51"/>
        <v/>
      </c>
    </row>
    <row r="784" spans="1:24" x14ac:dyDescent="0.25">
      <c r="A784" t="s">
        <v>1589</v>
      </c>
      <c r="B784" t="s">
        <v>1590</v>
      </c>
      <c r="C784" t="s">
        <v>54</v>
      </c>
      <c r="D784" t="s">
        <v>62</v>
      </c>
      <c r="E784" s="1">
        <v>44572</v>
      </c>
      <c r="F784" t="s">
        <v>19</v>
      </c>
      <c r="G784">
        <v>4713</v>
      </c>
      <c r="H784">
        <v>2905</v>
      </c>
      <c r="I784">
        <v>2.68</v>
      </c>
      <c r="J784">
        <v>83</v>
      </c>
      <c r="M784" t="str">
        <f t="shared" ca="1" si="48"/>
        <v/>
      </c>
      <c r="N784" s="3" t="str" cm="1">
        <f t="array" ref="N784">_xlfn.IFS(I784&gt;=3.5,"Excellent",I784&gt;=3,"Good",I784&gt;=2,"Average",I784&lt;2,"Poor")</f>
        <v>Average</v>
      </c>
      <c r="P784" t="str">
        <f t="shared" si="49"/>
        <v>True</v>
      </c>
      <c r="Q784">
        <f t="shared" si="50"/>
        <v>295154</v>
      </c>
      <c r="R784">
        <v>2022</v>
      </c>
      <c r="X784">
        <f t="shared" ca="1" si="51"/>
        <v>1277</v>
      </c>
    </row>
    <row r="785" spans="1:24" x14ac:dyDescent="0.25">
      <c r="A785" t="s">
        <v>1591</v>
      </c>
      <c r="B785" t="s">
        <v>1592</v>
      </c>
      <c r="C785" t="s">
        <v>22</v>
      </c>
      <c r="D785" t="s">
        <v>62</v>
      </c>
      <c r="E785" s="1">
        <v>45100</v>
      </c>
      <c r="F785" t="s">
        <v>14</v>
      </c>
      <c r="G785">
        <v>8738</v>
      </c>
      <c r="H785">
        <v>8784</v>
      </c>
      <c r="I785">
        <v>3.88</v>
      </c>
      <c r="J785">
        <v>29</v>
      </c>
      <c r="M785">
        <f t="shared" ca="1" si="48"/>
        <v>749</v>
      </c>
      <c r="N785" s="3" t="str" cm="1">
        <f t="array" ref="N785">_xlfn.IFS(I785&gt;=3.5,"Excellent",I785&gt;=3,"Good",I785&gt;=2,"Average",I785&lt;2,"Poor")</f>
        <v>Excellent</v>
      </c>
      <c r="P785" t="str">
        <f t="shared" si="49"/>
        <v>True</v>
      </c>
      <c r="Q785">
        <f t="shared" si="50"/>
        <v>295154</v>
      </c>
      <c r="R785">
        <v>2023</v>
      </c>
      <c r="X785" t="str">
        <f t="shared" ca="1" si="51"/>
        <v/>
      </c>
    </row>
    <row r="786" spans="1:24" x14ac:dyDescent="0.25">
      <c r="A786" t="s">
        <v>1593</v>
      </c>
      <c r="B786" t="s">
        <v>1594</v>
      </c>
      <c r="C786" t="s">
        <v>25</v>
      </c>
      <c r="D786" t="s">
        <v>31</v>
      </c>
      <c r="E786" s="1">
        <v>45218</v>
      </c>
      <c r="F786" t="s">
        <v>14</v>
      </c>
      <c r="G786">
        <v>5873</v>
      </c>
      <c r="H786">
        <v>6663</v>
      </c>
      <c r="I786">
        <v>2.68</v>
      </c>
      <c r="J786">
        <v>60</v>
      </c>
      <c r="M786">
        <f t="shared" ca="1" si="48"/>
        <v>631</v>
      </c>
      <c r="N786" s="3" t="str" cm="1">
        <f t="array" ref="N786">_xlfn.IFS(I786&gt;=3.5,"Excellent",I786&gt;=3,"Good",I786&gt;=2,"Average",I786&lt;2,"Poor")</f>
        <v>Average</v>
      </c>
      <c r="P786" t="str">
        <f t="shared" si="49"/>
        <v>True</v>
      </c>
      <c r="Q786">
        <f t="shared" si="50"/>
        <v>295154</v>
      </c>
      <c r="R786">
        <v>2023</v>
      </c>
      <c r="X786" t="str">
        <f t="shared" ca="1" si="51"/>
        <v/>
      </c>
    </row>
    <row r="787" spans="1:24" x14ac:dyDescent="0.25">
      <c r="A787" t="s">
        <v>1595</v>
      </c>
      <c r="B787" t="s">
        <v>1596</v>
      </c>
      <c r="C787" t="s">
        <v>22</v>
      </c>
      <c r="D787" t="s">
        <v>62</v>
      </c>
      <c r="E787" s="1">
        <v>45152</v>
      </c>
      <c r="F787" t="s">
        <v>14</v>
      </c>
      <c r="G787">
        <v>2955</v>
      </c>
      <c r="H787">
        <v>3577</v>
      </c>
      <c r="I787">
        <v>3.87</v>
      </c>
      <c r="J787">
        <v>92</v>
      </c>
      <c r="M787">
        <f t="shared" ca="1" si="48"/>
        <v>697</v>
      </c>
      <c r="N787" s="3" t="str" cm="1">
        <f t="array" ref="N787">_xlfn.IFS(I787&gt;=3.5,"Excellent",I787&gt;=3,"Good",I787&gt;=2,"Average",I787&lt;2,"Poor")</f>
        <v>Excellent</v>
      </c>
      <c r="P787" t="str">
        <f t="shared" si="49"/>
        <v>True</v>
      </c>
      <c r="Q787">
        <f t="shared" si="50"/>
        <v>295154</v>
      </c>
      <c r="R787">
        <v>2023</v>
      </c>
      <c r="X787" t="str">
        <f t="shared" ca="1" si="51"/>
        <v/>
      </c>
    </row>
    <row r="788" spans="1:24" x14ac:dyDescent="0.25">
      <c r="A788" t="s">
        <v>1597</v>
      </c>
      <c r="B788" t="s">
        <v>1598</v>
      </c>
      <c r="C788" t="s">
        <v>12</v>
      </c>
      <c r="D788" t="s">
        <v>13</v>
      </c>
      <c r="E788" s="1">
        <v>45189</v>
      </c>
      <c r="F788" t="s">
        <v>19</v>
      </c>
      <c r="G788">
        <v>14511</v>
      </c>
      <c r="H788">
        <v>7022</v>
      </c>
      <c r="I788">
        <v>3.28</v>
      </c>
      <c r="J788">
        <v>66</v>
      </c>
      <c r="M788" t="str">
        <f t="shared" ca="1" si="48"/>
        <v/>
      </c>
      <c r="N788" s="3" t="str" cm="1">
        <f t="array" ref="N788">_xlfn.IFS(I788&gt;=3.5,"Excellent",I788&gt;=3,"Good",I788&gt;=2,"Average",I788&lt;2,"Poor")</f>
        <v>Good</v>
      </c>
      <c r="P788" t="str">
        <f t="shared" si="49"/>
        <v/>
      </c>
      <c r="Q788">
        <f t="shared" si="50"/>
        <v>295154</v>
      </c>
      <c r="R788">
        <v>2023</v>
      </c>
      <c r="X788">
        <f t="shared" ca="1" si="51"/>
        <v>660</v>
      </c>
    </row>
    <row r="789" spans="1:24" x14ac:dyDescent="0.25">
      <c r="A789" t="s">
        <v>1599</v>
      </c>
      <c r="B789" t="s">
        <v>1600</v>
      </c>
      <c r="C789" t="s">
        <v>28</v>
      </c>
      <c r="D789" t="s">
        <v>13</v>
      </c>
      <c r="E789" s="1">
        <v>45379</v>
      </c>
      <c r="F789" t="s">
        <v>14</v>
      </c>
      <c r="G789">
        <v>5957</v>
      </c>
      <c r="H789">
        <v>5173</v>
      </c>
      <c r="I789">
        <v>2.11</v>
      </c>
      <c r="J789">
        <v>76</v>
      </c>
      <c r="M789">
        <f t="shared" ca="1" si="48"/>
        <v>470</v>
      </c>
      <c r="N789" s="3" t="str" cm="1">
        <f t="array" ref="N789">_xlfn.IFS(I789&gt;=3.5,"Excellent",I789&gt;=3,"Good",I789&gt;=2,"Average",I789&lt;2,"Poor")</f>
        <v>Average</v>
      </c>
      <c r="P789" t="str">
        <f t="shared" si="49"/>
        <v>True</v>
      </c>
      <c r="Q789">
        <f t="shared" si="50"/>
        <v>295154</v>
      </c>
      <c r="R789">
        <v>2024</v>
      </c>
      <c r="X789" t="str">
        <f t="shared" ca="1" si="51"/>
        <v/>
      </c>
    </row>
    <row r="790" spans="1:24" x14ac:dyDescent="0.25">
      <c r="A790" t="s">
        <v>1601</v>
      </c>
      <c r="B790" t="s">
        <v>1602</v>
      </c>
      <c r="C790" t="s">
        <v>36</v>
      </c>
      <c r="D790" t="s">
        <v>18</v>
      </c>
      <c r="E790" s="1">
        <v>45205</v>
      </c>
      <c r="F790" t="s">
        <v>14</v>
      </c>
      <c r="G790">
        <v>12871</v>
      </c>
      <c r="H790">
        <v>6263</v>
      </c>
      <c r="I790">
        <v>2.78</v>
      </c>
      <c r="J790">
        <v>55</v>
      </c>
      <c r="M790">
        <f t="shared" ca="1" si="48"/>
        <v>644</v>
      </c>
      <c r="N790" s="3" t="str" cm="1">
        <f t="array" ref="N790">_xlfn.IFS(I790&gt;=3.5,"Excellent",I790&gt;=3,"Good",I790&gt;=2,"Average",I790&lt;2,"Poor")</f>
        <v>Average</v>
      </c>
      <c r="P790" t="str">
        <f t="shared" si="49"/>
        <v/>
      </c>
      <c r="Q790">
        <f t="shared" si="50"/>
        <v>295154</v>
      </c>
      <c r="R790">
        <v>2023</v>
      </c>
      <c r="X790" t="str">
        <f t="shared" ca="1" si="51"/>
        <v/>
      </c>
    </row>
    <row r="791" spans="1:24" x14ac:dyDescent="0.25">
      <c r="A791" t="s">
        <v>1603</v>
      </c>
      <c r="B791" t="s">
        <v>1604</v>
      </c>
      <c r="C791" t="s">
        <v>25</v>
      </c>
      <c r="D791" t="s">
        <v>13</v>
      </c>
      <c r="E791" s="1">
        <v>45265</v>
      </c>
      <c r="F791" t="s">
        <v>14</v>
      </c>
      <c r="G791">
        <v>10218</v>
      </c>
      <c r="H791">
        <v>2605</v>
      </c>
      <c r="I791">
        <v>2.38</v>
      </c>
      <c r="J791">
        <v>103</v>
      </c>
      <c r="M791">
        <f t="shared" ca="1" si="48"/>
        <v>584</v>
      </c>
      <c r="N791" s="3" t="str" cm="1">
        <f t="array" ref="N791">_xlfn.IFS(I791&gt;=3.5,"Excellent",I791&gt;=3,"Good",I791&gt;=2,"Average",I791&lt;2,"Poor")</f>
        <v>Average</v>
      </c>
      <c r="P791" t="str">
        <f t="shared" si="49"/>
        <v/>
      </c>
      <c r="Q791">
        <f t="shared" si="50"/>
        <v>295154</v>
      </c>
      <c r="R791">
        <v>2023</v>
      </c>
      <c r="X791" t="str">
        <f t="shared" ca="1" si="51"/>
        <v/>
      </c>
    </row>
    <row r="792" spans="1:24" x14ac:dyDescent="0.25">
      <c r="A792" t="s">
        <v>1605</v>
      </c>
      <c r="B792" t="s">
        <v>1606</v>
      </c>
      <c r="C792" t="s">
        <v>17</v>
      </c>
      <c r="D792" t="s">
        <v>13</v>
      </c>
      <c r="E792" s="1">
        <v>45233</v>
      </c>
      <c r="F792" t="s">
        <v>19</v>
      </c>
      <c r="G792">
        <v>6960</v>
      </c>
      <c r="H792">
        <v>7251</v>
      </c>
      <c r="I792">
        <v>3.64</v>
      </c>
      <c r="J792">
        <v>23</v>
      </c>
      <c r="M792" t="str">
        <f t="shared" ca="1" si="48"/>
        <v/>
      </c>
      <c r="N792" s="3" t="str" cm="1">
        <f t="array" ref="N792">_xlfn.IFS(I792&gt;=3.5,"Excellent",I792&gt;=3,"Good",I792&gt;=2,"Average",I792&lt;2,"Poor")</f>
        <v>Excellent</v>
      </c>
      <c r="P792" t="str">
        <f t="shared" si="49"/>
        <v>True</v>
      </c>
      <c r="Q792">
        <f t="shared" si="50"/>
        <v>295154</v>
      </c>
      <c r="R792">
        <v>2023</v>
      </c>
      <c r="X792">
        <f t="shared" ca="1" si="51"/>
        <v>616</v>
      </c>
    </row>
    <row r="793" spans="1:24" x14ac:dyDescent="0.25">
      <c r="A793" t="s">
        <v>1607</v>
      </c>
      <c r="B793" t="s">
        <v>1608</v>
      </c>
      <c r="C793" t="s">
        <v>28</v>
      </c>
      <c r="D793" t="s">
        <v>31</v>
      </c>
      <c r="E793" s="1">
        <v>44808</v>
      </c>
      <c r="F793" t="s">
        <v>14</v>
      </c>
      <c r="G793">
        <v>6829</v>
      </c>
      <c r="H793">
        <v>4244</v>
      </c>
      <c r="I793">
        <v>3.45</v>
      </c>
      <c r="J793">
        <v>39</v>
      </c>
      <c r="M793">
        <f t="shared" ca="1" si="48"/>
        <v>1041</v>
      </c>
      <c r="N793" s="3" t="str" cm="1">
        <f t="array" ref="N793">_xlfn.IFS(I793&gt;=3.5,"Excellent",I793&gt;=3,"Good",I793&gt;=2,"Average",I793&lt;2,"Poor")</f>
        <v>Good</v>
      </c>
      <c r="P793" t="str">
        <f t="shared" si="49"/>
        <v>True</v>
      </c>
      <c r="Q793">
        <f t="shared" si="50"/>
        <v>295154</v>
      </c>
      <c r="R793">
        <v>2022</v>
      </c>
      <c r="X793" t="str">
        <f t="shared" ca="1" si="51"/>
        <v/>
      </c>
    </row>
    <row r="794" spans="1:24" x14ac:dyDescent="0.25">
      <c r="A794" t="s">
        <v>1609</v>
      </c>
      <c r="B794" t="s">
        <v>1610</v>
      </c>
      <c r="C794" t="s">
        <v>54</v>
      </c>
      <c r="D794" t="s">
        <v>18</v>
      </c>
      <c r="E794" s="1">
        <v>45444</v>
      </c>
      <c r="F794" t="s">
        <v>14</v>
      </c>
      <c r="G794">
        <v>9470</v>
      </c>
      <c r="H794">
        <v>8209</v>
      </c>
      <c r="I794">
        <v>2.23</v>
      </c>
      <c r="J794">
        <v>17</v>
      </c>
      <c r="M794">
        <f t="shared" ca="1" si="48"/>
        <v>405</v>
      </c>
      <c r="N794" s="3" t="str" cm="1">
        <f t="array" ref="N794">_xlfn.IFS(I794&gt;=3.5,"Excellent",I794&gt;=3,"Good",I794&gt;=2,"Average",I794&lt;2,"Poor")</f>
        <v>Average</v>
      </c>
      <c r="P794" t="str">
        <f t="shared" si="49"/>
        <v>True</v>
      </c>
      <c r="Q794">
        <f t="shared" si="50"/>
        <v>295154</v>
      </c>
      <c r="R794">
        <v>2024</v>
      </c>
      <c r="X794" t="str">
        <f t="shared" ca="1" si="51"/>
        <v/>
      </c>
    </row>
    <row r="795" spans="1:24" x14ac:dyDescent="0.25">
      <c r="A795" t="s">
        <v>1611</v>
      </c>
      <c r="B795" t="s">
        <v>1612</v>
      </c>
      <c r="C795" t="s">
        <v>57</v>
      </c>
      <c r="D795" t="s">
        <v>18</v>
      </c>
      <c r="E795" s="1">
        <v>44845</v>
      </c>
      <c r="F795" t="s">
        <v>19</v>
      </c>
      <c r="G795">
        <v>11385</v>
      </c>
      <c r="H795">
        <v>4400</v>
      </c>
      <c r="I795">
        <v>3.13</v>
      </c>
      <c r="J795">
        <v>103</v>
      </c>
      <c r="M795" t="str">
        <f t="shared" ca="1" si="48"/>
        <v/>
      </c>
      <c r="N795" s="3" t="str" cm="1">
        <f t="array" ref="N795">_xlfn.IFS(I795&gt;=3.5,"Excellent",I795&gt;=3,"Good",I795&gt;=2,"Average",I795&lt;2,"Poor")</f>
        <v>Good</v>
      </c>
      <c r="P795" t="str">
        <f t="shared" si="49"/>
        <v/>
      </c>
      <c r="Q795">
        <f t="shared" si="50"/>
        <v>295154</v>
      </c>
      <c r="R795">
        <v>2022</v>
      </c>
      <c r="X795">
        <f t="shared" ca="1" si="51"/>
        <v>1004</v>
      </c>
    </row>
    <row r="796" spans="1:24" x14ac:dyDescent="0.25">
      <c r="A796" t="s">
        <v>1613</v>
      </c>
      <c r="B796" t="s">
        <v>1614</v>
      </c>
      <c r="C796" t="s">
        <v>57</v>
      </c>
      <c r="D796" t="s">
        <v>62</v>
      </c>
      <c r="E796" s="1">
        <v>45325</v>
      </c>
      <c r="F796" t="s">
        <v>39</v>
      </c>
      <c r="G796">
        <v>6371</v>
      </c>
      <c r="H796">
        <v>1413</v>
      </c>
      <c r="I796">
        <v>2.0299999999999998</v>
      </c>
      <c r="J796">
        <v>9</v>
      </c>
      <c r="M796" t="str">
        <f t="shared" ca="1" si="48"/>
        <v/>
      </c>
      <c r="N796" s="3" t="str" cm="1">
        <f t="array" ref="N796">_xlfn.IFS(I796&gt;=3.5,"Excellent",I796&gt;=3,"Good",I796&gt;=2,"Average",I796&lt;2,"Poor")</f>
        <v>Average</v>
      </c>
      <c r="P796" t="str">
        <f t="shared" si="49"/>
        <v/>
      </c>
      <c r="Q796">
        <f t="shared" si="50"/>
        <v>283769</v>
      </c>
      <c r="R796">
        <v>2024</v>
      </c>
      <c r="X796" t="str">
        <f t="shared" ca="1" si="51"/>
        <v/>
      </c>
    </row>
    <row r="797" spans="1:24" x14ac:dyDescent="0.25">
      <c r="A797" t="s">
        <v>1615</v>
      </c>
      <c r="B797" t="s">
        <v>1616</v>
      </c>
      <c r="C797" t="s">
        <v>57</v>
      </c>
      <c r="D797" t="s">
        <v>13</v>
      </c>
      <c r="E797" s="1">
        <v>45188</v>
      </c>
      <c r="F797" t="s">
        <v>14</v>
      </c>
      <c r="G797">
        <v>12348</v>
      </c>
      <c r="H797">
        <v>7249</v>
      </c>
      <c r="I797">
        <v>3.99</v>
      </c>
      <c r="J797">
        <v>86</v>
      </c>
      <c r="M797">
        <f t="shared" ca="1" si="48"/>
        <v>661</v>
      </c>
      <c r="N797" s="3" t="str" cm="1">
        <f t="array" ref="N797">_xlfn.IFS(I797&gt;=3.5,"Excellent",I797&gt;=3,"Good",I797&gt;=2,"Average",I797&lt;2,"Poor")</f>
        <v>Excellent</v>
      </c>
      <c r="P797" t="str">
        <f t="shared" si="49"/>
        <v>True</v>
      </c>
      <c r="Q797">
        <f t="shared" si="50"/>
        <v>283769</v>
      </c>
      <c r="R797">
        <v>2023</v>
      </c>
      <c r="X797" t="str">
        <f t="shared" ca="1" si="51"/>
        <v/>
      </c>
    </row>
    <row r="798" spans="1:24" x14ac:dyDescent="0.25">
      <c r="A798" t="s">
        <v>1617</v>
      </c>
      <c r="B798" t="s">
        <v>1618</v>
      </c>
      <c r="C798" t="s">
        <v>25</v>
      </c>
      <c r="D798" t="s">
        <v>13</v>
      </c>
      <c r="E798" s="1">
        <v>45068</v>
      </c>
      <c r="F798" t="s">
        <v>19</v>
      </c>
      <c r="G798">
        <v>11630</v>
      </c>
      <c r="H798">
        <v>4125</v>
      </c>
      <c r="I798">
        <v>2.97</v>
      </c>
      <c r="J798">
        <v>1</v>
      </c>
      <c r="M798" t="str">
        <f t="shared" ca="1" si="48"/>
        <v/>
      </c>
      <c r="N798" s="3" t="str" cm="1">
        <f t="array" ref="N798">_xlfn.IFS(I798&gt;=3.5,"Excellent",I798&gt;=3,"Good",I798&gt;=2,"Average",I798&lt;2,"Poor")</f>
        <v>Average</v>
      </c>
      <c r="P798" t="str">
        <f t="shared" si="49"/>
        <v/>
      </c>
      <c r="Q798">
        <f t="shared" si="50"/>
        <v>283769</v>
      </c>
      <c r="R798">
        <v>2023</v>
      </c>
      <c r="X798">
        <f t="shared" ca="1" si="51"/>
        <v>781</v>
      </c>
    </row>
    <row r="799" spans="1:24" x14ac:dyDescent="0.25">
      <c r="A799" t="s">
        <v>1619</v>
      </c>
      <c r="B799" t="s">
        <v>1620</v>
      </c>
      <c r="C799" t="s">
        <v>25</v>
      </c>
      <c r="D799" t="s">
        <v>13</v>
      </c>
      <c r="E799" s="1">
        <v>45433</v>
      </c>
      <c r="F799" t="s">
        <v>14</v>
      </c>
      <c r="G799">
        <v>8458</v>
      </c>
      <c r="H799">
        <v>2663</v>
      </c>
      <c r="I799">
        <v>3.13</v>
      </c>
      <c r="J799">
        <v>103</v>
      </c>
      <c r="M799">
        <f t="shared" ca="1" si="48"/>
        <v>416</v>
      </c>
      <c r="N799" s="3" t="str" cm="1">
        <f t="array" ref="N799">_xlfn.IFS(I799&gt;=3.5,"Excellent",I799&gt;=3,"Good",I799&gt;=2,"Average",I799&lt;2,"Poor")</f>
        <v>Good</v>
      </c>
      <c r="P799" t="str">
        <f t="shared" si="49"/>
        <v/>
      </c>
      <c r="Q799">
        <f t="shared" si="50"/>
        <v>283769</v>
      </c>
      <c r="R799">
        <v>2024</v>
      </c>
      <c r="X799" t="str">
        <f t="shared" ca="1" si="51"/>
        <v/>
      </c>
    </row>
    <row r="800" spans="1:24" x14ac:dyDescent="0.25">
      <c r="A800" t="s">
        <v>1621</v>
      </c>
      <c r="B800" t="s">
        <v>1622</v>
      </c>
      <c r="C800" t="s">
        <v>28</v>
      </c>
      <c r="D800" t="s">
        <v>62</v>
      </c>
      <c r="E800" s="1">
        <v>45258</v>
      </c>
      <c r="F800" t="s">
        <v>14</v>
      </c>
      <c r="G800">
        <v>5481</v>
      </c>
      <c r="H800">
        <v>3750</v>
      </c>
      <c r="I800">
        <v>2.04</v>
      </c>
      <c r="J800">
        <v>99</v>
      </c>
      <c r="M800">
        <f t="shared" ca="1" si="48"/>
        <v>591</v>
      </c>
      <c r="N800" s="3" t="str" cm="1">
        <f t="array" ref="N800">_xlfn.IFS(I800&gt;=3.5,"Excellent",I800&gt;=3,"Good",I800&gt;=2,"Average",I800&lt;2,"Poor")</f>
        <v>Average</v>
      </c>
      <c r="P800" t="str">
        <f t="shared" si="49"/>
        <v>True</v>
      </c>
      <c r="Q800">
        <f t="shared" si="50"/>
        <v>283769</v>
      </c>
      <c r="R800">
        <v>2023</v>
      </c>
      <c r="X800" t="str">
        <f t="shared" ca="1" si="51"/>
        <v/>
      </c>
    </row>
    <row r="801" spans="1:24" x14ac:dyDescent="0.25">
      <c r="A801" t="s">
        <v>1623</v>
      </c>
      <c r="B801" t="s">
        <v>1624</v>
      </c>
      <c r="C801" t="s">
        <v>57</v>
      </c>
      <c r="D801" t="s">
        <v>18</v>
      </c>
      <c r="E801" s="1">
        <v>44956</v>
      </c>
      <c r="F801" t="s">
        <v>14</v>
      </c>
      <c r="G801">
        <v>9827</v>
      </c>
      <c r="H801">
        <v>3072</v>
      </c>
      <c r="I801">
        <v>3.6</v>
      </c>
      <c r="J801">
        <v>9</v>
      </c>
      <c r="M801">
        <f t="shared" ca="1" si="48"/>
        <v>893</v>
      </c>
      <c r="N801" s="3" t="str" cm="1">
        <f t="array" ref="N801">_xlfn.IFS(I801&gt;=3.5,"Excellent",I801&gt;=3,"Good",I801&gt;=2,"Average",I801&lt;2,"Poor")</f>
        <v>Excellent</v>
      </c>
      <c r="P801" t="str">
        <f t="shared" si="49"/>
        <v/>
      </c>
      <c r="Q801">
        <f t="shared" si="50"/>
        <v>283769</v>
      </c>
      <c r="R801">
        <v>2023</v>
      </c>
      <c r="X801" t="str">
        <f t="shared" ca="1" si="51"/>
        <v/>
      </c>
    </row>
    <row r="802" spans="1:24" x14ac:dyDescent="0.25">
      <c r="A802" t="s">
        <v>1625</v>
      </c>
      <c r="B802" t="s">
        <v>1626</v>
      </c>
      <c r="C802" t="s">
        <v>25</v>
      </c>
      <c r="D802" t="s">
        <v>13</v>
      </c>
      <c r="E802" s="1">
        <v>45213</v>
      </c>
      <c r="F802" t="s">
        <v>14</v>
      </c>
      <c r="G802">
        <v>9017</v>
      </c>
      <c r="H802">
        <v>2433</v>
      </c>
      <c r="I802">
        <v>2.5</v>
      </c>
      <c r="J802">
        <v>104</v>
      </c>
      <c r="M802">
        <f t="shared" ca="1" si="48"/>
        <v>636</v>
      </c>
      <c r="N802" s="3" t="str" cm="1">
        <f t="array" ref="N802">_xlfn.IFS(I802&gt;=3.5,"Excellent",I802&gt;=3,"Good",I802&gt;=2,"Average",I802&lt;2,"Poor")</f>
        <v>Average</v>
      </c>
      <c r="P802" t="str">
        <f t="shared" si="49"/>
        <v/>
      </c>
      <c r="Q802">
        <f t="shared" si="50"/>
        <v>283769</v>
      </c>
      <c r="R802">
        <v>2023</v>
      </c>
      <c r="X802" t="str">
        <f t="shared" ca="1" si="51"/>
        <v/>
      </c>
    </row>
    <row r="803" spans="1:24" x14ac:dyDescent="0.25">
      <c r="A803" t="s">
        <v>1627</v>
      </c>
      <c r="B803" t="s">
        <v>1628</v>
      </c>
      <c r="C803" t="s">
        <v>12</v>
      </c>
      <c r="D803" t="s">
        <v>31</v>
      </c>
      <c r="E803" s="1">
        <v>44979</v>
      </c>
      <c r="F803" t="s">
        <v>14</v>
      </c>
      <c r="G803">
        <v>7088</v>
      </c>
      <c r="H803">
        <v>1865</v>
      </c>
      <c r="I803">
        <v>3.1</v>
      </c>
      <c r="J803">
        <v>13</v>
      </c>
      <c r="M803">
        <f t="shared" ca="1" si="48"/>
        <v>870</v>
      </c>
      <c r="N803" s="3" t="str" cm="1">
        <f t="array" ref="N803">_xlfn.IFS(I803&gt;=3.5,"Excellent",I803&gt;=3,"Good",I803&gt;=2,"Average",I803&lt;2,"Poor")</f>
        <v>Good</v>
      </c>
      <c r="P803" t="str">
        <f t="shared" si="49"/>
        <v/>
      </c>
      <c r="Q803">
        <f t="shared" si="50"/>
        <v>283769</v>
      </c>
      <c r="R803">
        <v>2023</v>
      </c>
      <c r="X803" t="str">
        <f t="shared" ca="1" si="51"/>
        <v/>
      </c>
    </row>
    <row r="804" spans="1:24" x14ac:dyDescent="0.25">
      <c r="A804" t="s">
        <v>1629</v>
      </c>
      <c r="B804" t="s">
        <v>1630</v>
      </c>
      <c r="C804" t="s">
        <v>57</v>
      </c>
      <c r="D804" t="s">
        <v>18</v>
      </c>
      <c r="E804" s="1">
        <v>45219</v>
      </c>
      <c r="F804" t="s">
        <v>14</v>
      </c>
      <c r="G804">
        <v>6708</v>
      </c>
      <c r="H804">
        <v>3378</v>
      </c>
      <c r="I804">
        <v>2.4500000000000002</v>
      </c>
      <c r="J804">
        <v>116</v>
      </c>
      <c r="M804">
        <f t="shared" ca="1" si="48"/>
        <v>630</v>
      </c>
      <c r="N804" s="3" t="str" cm="1">
        <f t="array" ref="N804">_xlfn.IFS(I804&gt;=3.5,"Excellent",I804&gt;=3,"Good",I804&gt;=2,"Average",I804&lt;2,"Poor")</f>
        <v>Average</v>
      </c>
      <c r="P804" t="str">
        <f t="shared" si="49"/>
        <v>True</v>
      </c>
      <c r="Q804">
        <f t="shared" si="50"/>
        <v>283769</v>
      </c>
      <c r="R804">
        <v>2023</v>
      </c>
      <c r="X804" t="str">
        <f t="shared" ca="1" si="51"/>
        <v/>
      </c>
    </row>
    <row r="805" spans="1:24" x14ac:dyDescent="0.25">
      <c r="A805" t="s">
        <v>1631</v>
      </c>
      <c r="B805" t="s">
        <v>1632</v>
      </c>
      <c r="C805" t="s">
        <v>57</v>
      </c>
      <c r="D805" t="s">
        <v>62</v>
      </c>
      <c r="E805" s="1">
        <v>44854</v>
      </c>
      <c r="F805" t="s">
        <v>14</v>
      </c>
      <c r="G805">
        <v>8649</v>
      </c>
      <c r="H805">
        <v>259</v>
      </c>
      <c r="I805">
        <v>3.8</v>
      </c>
      <c r="J805">
        <v>104</v>
      </c>
      <c r="M805">
        <f t="shared" ca="1" si="48"/>
        <v>995</v>
      </c>
      <c r="N805" s="3" t="str" cm="1">
        <f t="array" ref="N805">_xlfn.IFS(I805&gt;=3.5,"Excellent",I805&gt;=3,"Good",I805&gt;=2,"Average",I805&lt;2,"Poor")</f>
        <v>Excellent</v>
      </c>
      <c r="P805" t="str">
        <f t="shared" si="49"/>
        <v/>
      </c>
      <c r="Q805">
        <f t="shared" si="50"/>
        <v>283769</v>
      </c>
      <c r="R805">
        <v>2022</v>
      </c>
      <c r="X805" t="str">
        <f t="shared" ca="1" si="51"/>
        <v/>
      </c>
    </row>
    <row r="806" spans="1:24" x14ac:dyDescent="0.25">
      <c r="A806" t="s">
        <v>1633</v>
      </c>
      <c r="B806" t="s">
        <v>1634</v>
      </c>
      <c r="C806" t="s">
        <v>28</v>
      </c>
      <c r="D806" t="s">
        <v>13</v>
      </c>
      <c r="E806" s="1">
        <v>45034</v>
      </c>
      <c r="F806" t="s">
        <v>14</v>
      </c>
      <c r="G806">
        <v>14403</v>
      </c>
      <c r="H806">
        <v>6794</v>
      </c>
      <c r="I806">
        <v>3.08</v>
      </c>
      <c r="J806">
        <v>12</v>
      </c>
      <c r="M806">
        <f t="shared" ca="1" si="48"/>
        <v>815</v>
      </c>
      <c r="N806" s="3" t="str" cm="1">
        <f t="array" ref="N806">_xlfn.IFS(I806&gt;=3.5,"Excellent",I806&gt;=3,"Good",I806&gt;=2,"Average",I806&lt;2,"Poor")</f>
        <v>Good</v>
      </c>
      <c r="P806" t="str">
        <f t="shared" si="49"/>
        <v/>
      </c>
      <c r="Q806">
        <f t="shared" si="50"/>
        <v>283769</v>
      </c>
      <c r="R806">
        <v>2023</v>
      </c>
      <c r="X806" t="str">
        <f t="shared" ca="1" si="51"/>
        <v/>
      </c>
    </row>
    <row r="807" spans="1:24" x14ac:dyDescent="0.25">
      <c r="A807" t="s">
        <v>1635</v>
      </c>
      <c r="B807" t="s">
        <v>1636</v>
      </c>
      <c r="C807" t="s">
        <v>25</v>
      </c>
      <c r="D807" t="s">
        <v>31</v>
      </c>
      <c r="E807" s="1">
        <v>45314</v>
      </c>
      <c r="F807" t="s">
        <v>14</v>
      </c>
      <c r="G807">
        <v>6558</v>
      </c>
      <c r="H807">
        <v>1313</v>
      </c>
      <c r="I807">
        <v>3.07</v>
      </c>
      <c r="J807">
        <v>41</v>
      </c>
      <c r="M807">
        <f t="shared" ca="1" si="48"/>
        <v>535</v>
      </c>
      <c r="N807" s="3" t="str" cm="1">
        <f t="array" ref="N807">_xlfn.IFS(I807&gt;=3.5,"Excellent",I807&gt;=3,"Good",I807&gt;=2,"Average",I807&lt;2,"Poor")</f>
        <v>Good</v>
      </c>
      <c r="P807" t="str">
        <f t="shared" si="49"/>
        <v/>
      </c>
      <c r="Q807">
        <f t="shared" si="50"/>
        <v>283769</v>
      </c>
      <c r="R807">
        <v>2024</v>
      </c>
      <c r="X807" t="str">
        <f t="shared" ca="1" si="51"/>
        <v/>
      </c>
    </row>
    <row r="808" spans="1:24" x14ac:dyDescent="0.25">
      <c r="A808" t="s">
        <v>1637</v>
      </c>
      <c r="B808" t="s">
        <v>1638</v>
      </c>
      <c r="C808" t="s">
        <v>57</v>
      </c>
      <c r="D808" t="s">
        <v>31</v>
      </c>
      <c r="E808" s="1">
        <v>44871</v>
      </c>
      <c r="F808" t="s">
        <v>14</v>
      </c>
      <c r="G808">
        <v>9997</v>
      </c>
      <c r="H808">
        <v>9046</v>
      </c>
      <c r="I808">
        <v>3.18</v>
      </c>
      <c r="J808">
        <v>31</v>
      </c>
      <c r="M808">
        <f t="shared" ca="1" si="48"/>
        <v>978</v>
      </c>
      <c r="N808" s="3" t="str" cm="1">
        <f t="array" ref="N808">_xlfn.IFS(I808&gt;=3.5,"Excellent",I808&gt;=3,"Good",I808&gt;=2,"Average",I808&lt;2,"Poor")</f>
        <v>Good</v>
      </c>
      <c r="P808" t="str">
        <f t="shared" si="49"/>
        <v>True</v>
      </c>
      <c r="Q808">
        <f t="shared" si="50"/>
        <v>283769</v>
      </c>
      <c r="R808">
        <v>2022</v>
      </c>
      <c r="X808" t="str">
        <f t="shared" ca="1" si="51"/>
        <v/>
      </c>
    </row>
    <row r="809" spans="1:24" x14ac:dyDescent="0.25">
      <c r="A809" t="s">
        <v>1639</v>
      </c>
      <c r="B809" t="s">
        <v>1640</v>
      </c>
      <c r="C809" t="s">
        <v>28</v>
      </c>
      <c r="D809" t="s">
        <v>62</v>
      </c>
      <c r="E809" s="1">
        <v>45381</v>
      </c>
      <c r="F809" t="s">
        <v>14</v>
      </c>
      <c r="G809">
        <v>2195</v>
      </c>
      <c r="H809">
        <v>5801</v>
      </c>
      <c r="I809">
        <v>3.09</v>
      </c>
      <c r="J809">
        <v>29</v>
      </c>
      <c r="M809">
        <f t="shared" ca="1" si="48"/>
        <v>468</v>
      </c>
      <c r="N809" s="3" t="str" cm="1">
        <f t="array" ref="N809">_xlfn.IFS(I809&gt;=3.5,"Excellent",I809&gt;=3,"Good",I809&gt;=2,"Average",I809&lt;2,"Poor")</f>
        <v>Good</v>
      </c>
      <c r="P809" t="str">
        <f t="shared" si="49"/>
        <v>True</v>
      </c>
      <c r="Q809">
        <f t="shared" si="50"/>
        <v>283769</v>
      </c>
      <c r="R809">
        <v>2024</v>
      </c>
      <c r="X809" t="str">
        <f t="shared" ca="1" si="51"/>
        <v/>
      </c>
    </row>
    <row r="810" spans="1:24" x14ac:dyDescent="0.25">
      <c r="A810" t="s">
        <v>1641</v>
      </c>
      <c r="B810" t="s">
        <v>1642</v>
      </c>
      <c r="C810" t="s">
        <v>22</v>
      </c>
      <c r="D810" t="s">
        <v>13</v>
      </c>
      <c r="E810" s="1">
        <v>44579</v>
      </c>
      <c r="F810" t="s">
        <v>14</v>
      </c>
      <c r="G810">
        <v>5342</v>
      </c>
      <c r="H810">
        <v>8331</v>
      </c>
      <c r="I810">
        <v>2.34</v>
      </c>
      <c r="J810">
        <v>28</v>
      </c>
      <c r="M810">
        <f t="shared" ca="1" si="48"/>
        <v>1270</v>
      </c>
      <c r="N810" s="3" t="str" cm="1">
        <f t="array" ref="N810">_xlfn.IFS(I810&gt;=3.5,"Excellent",I810&gt;=3,"Good",I810&gt;=2,"Average",I810&lt;2,"Poor")</f>
        <v>Average</v>
      </c>
      <c r="P810" t="str">
        <f t="shared" si="49"/>
        <v>True</v>
      </c>
      <c r="Q810">
        <f t="shared" si="50"/>
        <v>283769</v>
      </c>
      <c r="R810">
        <v>2022</v>
      </c>
      <c r="X810" t="str">
        <f t="shared" ca="1" si="51"/>
        <v/>
      </c>
    </row>
    <row r="811" spans="1:24" x14ac:dyDescent="0.25">
      <c r="A811" t="s">
        <v>1643</v>
      </c>
      <c r="B811" t="s">
        <v>1644</v>
      </c>
      <c r="C811" t="s">
        <v>57</v>
      </c>
      <c r="D811" t="s">
        <v>13</v>
      </c>
      <c r="E811" s="1">
        <v>44631</v>
      </c>
      <c r="F811" t="s">
        <v>19</v>
      </c>
      <c r="G811">
        <v>8312</v>
      </c>
      <c r="H811">
        <v>1608</v>
      </c>
      <c r="I811">
        <v>2.66</v>
      </c>
      <c r="J811">
        <v>60</v>
      </c>
      <c r="M811" t="str">
        <f t="shared" ca="1" si="48"/>
        <v/>
      </c>
      <c r="N811" s="3" t="str" cm="1">
        <f t="array" ref="N811">_xlfn.IFS(I811&gt;=3.5,"Excellent",I811&gt;=3,"Good",I811&gt;=2,"Average",I811&lt;2,"Poor")</f>
        <v>Average</v>
      </c>
      <c r="P811" t="str">
        <f t="shared" si="49"/>
        <v/>
      </c>
      <c r="Q811">
        <f t="shared" si="50"/>
        <v>283769</v>
      </c>
      <c r="R811">
        <v>2022</v>
      </c>
      <c r="X811">
        <f t="shared" ca="1" si="51"/>
        <v>1218</v>
      </c>
    </row>
    <row r="812" spans="1:24" x14ac:dyDescent="0.25">
      <c r="A812" t="s">
        <v>1645</v>
      </c>
      <c r="B812" t="s">
        <v>1646</v>
      </c>
      <c r="C812" t="s">
        <v>25</v>
      </c>
      <c r="D812" t="s">
        <v>13</v>
      </c>
      <c r="E812" s="1">
        <v>44781</v>
      </c>
      <c r="F812" t="s">
        <v>14</v>
      </c>
      <c r="G812">
        <v>11533</v>
      </c>
      <c r="H812">
        <v>3137</v>
      </c>
      <c r="I812">
        <v>3.99</v>
      </c>
      <c r="J812">
        <v>102</v>
      </c>
      <c r="M812">
        <f t="shared" ca="1" si="48"/>
        <v>1068</v>
      </c>
      <c r="N812" s="3" t="str" cm="1">
        <f t="array" ref="N812">_xlfn.IFS(I812&gt;=3.5,"Excellent",I812&gt;=3,"Good",I812&gt;=2,"Average",I812&lt;2,"Poor")</f>
        <v>Excellent</v>
      </c>
      <c r="P812" t="str">
        <f t="shared" si="49"/>
        <v/>
      </c>
      <c r="Q812">
        <f t="shared" si="50"/>
        <v>283769</v>
      </c>
      <c r="R812">
        <v>2022</v>
      </c>
      <c r="X812" t="str">
        <f t="shared" ca="1" si="51"/>
        <v/>
      </c>
    </row>
    <row r="813" spans="1:24" x14ac:dyDescent="0.25">
      <c r="A813" t="s">
        <v>1647</v>
      </c>
      <c r="B813" t="s">
        <v>1648</v>
      </c>
      <c r="C813" t="s">
        <v>12</v>
      </c>
      <c r="D813" t="s">
        <v>18</v>
      </c>
      <c r="E813" s="1">
        <v>44922</v>
      </c>
      <c r="F813" t="s">
        <v>14</v>
      </c>
      <c r="G813">
        <v>13511</v>
      </c>
      <c r="H813">
        <v>5464</v>
      </c>
      <c r="I813">
        <v>3.98</v>
      </c>
      <c r="J813">
        <v>28</v>
      </c>
      <c r="M813">
        <f t="shared" ca="1" si="48"/>
        <v>927</v>
      </c>
      <c r="N813" s="3" t="str" cm="1">
        <f t="array" ref="N813">_xlfn.IFS(I813&gt;=3.5,"Excellent",I813&gt;=3,"Good",I813&gt;=2,"Average",I813&lt;2,"Poor")</f>
        <v>Excellent</v>
      </c>
      <c r="P813" t="str">
        <f t="shared" si="49"/>
        <v/>
      </c>
      <c r="Q813">
        <f t="shared" si="50"/>
        <v>283769</v>
      </c>
      <c r="R813">
        <v>2022</v>
      </c>
      <c r="X813" t="str">
        <f t="shared" ca="1" si="51"/>
        <v/>
      </c>
    </row>
    <row r="814" spans="1:24" x14ac:dyDescent="0.25">
      <c r="A814" t="s">
        <v>1649</v>
      </c>
      <c r="B814" t="s">
        <v>1650</v>
      </c>
      <c r="C814" t="s">
        <v>22</v>
      </c>
      <c r="D814" t="s">
        <v>18</v>
      </c>
      <c r="E814" s="1">
        <v>44898</v>
      </c>
      <c r="F814" t="s">
        <v>14</v>
      </c>
      <c r="G814">
        <v>14695</v>
      </c>
      <c r="H814">
        <v>6199</v>
      </c>
      <c r="I814">
        <v>3.67</v>
      </c>
      <c r="J814">
        <v>22</v>
      </c>
      <c r="M814">
        <f t="shared" ca="1" si="48"/>
        <v>951</v>
      </c>
      <c r="N814" s="3" t="str" cm="1">
        <f t="array" ref="N814">_xlfn.IFS(I814&gt;=3.5,"Excellent",I814&gt;=3,"Good",I814&gt;=2,"Average",I814&lt;2,"Poor")</f>
        <v>Excellent</v>
      </c>
      <c r="P814" t="str">
        <f t="shared" si="49"/>
        <v/>
      </c>
      <c r="Q814">
        <f t="shared" si="50"/>
        <v>283769</v>
      </c>
      <c r="R814">
        <v>2022</v>
      </c>
      <c r="X814" t="str">
        <f t="shared" ca="1" si="51"/>
        <v/>
      </c>
    </row>
    <row r="815" spans="1:24" x14ac:dyDescent="0.25">
      <c r="A815" t="s">
        <v>1651</v>
      </c>
      <c r="B815" t="s">
        <v>1652</v>
      </c>
      <c r="C815" t="s">
        <v>36</v>
      </c>
      <c r="D815" t="s">
        <v>31</v>
      </c>
      <c r="E815" s="1">
        <v>44810</v>
      </c>
      <c r="F815" t="s">
        <v>14</v>
      </c>
      <c r="G815">
        <v>4571</v>
      </c>
      <c r="H815">
        <v>8871</v>
      </c>
      <c r="I815">
        <v>2.04</v>
      </c>
      <c r="J815">
        <v>94</v>
      </c>
      <c r="M815">
        <f t="shared" ca="1" si="48"/>
        <v>1039</v>
      </c>
      <c r="N815" s="3" t="str" cm="1">
        <f t="array" ref="N815">_xlfn.IFS(I815&gt;=3.5,"Excellent",I815&gt;=3,"Good",I815&gt;=2,"Average",I815&lt;2,"Poor")</f>
        <v>Average</v>
      </c>
      <c r="P815" t="str">
        <f t="shared" si="49"/>
        <v>True</v>
      </c>
      <c r="Q815">
        <f t="shared" si="50"/>
        <v>283769</v>
      </c>
      <c r="R815">
        <v>2022</v>
      </c>
      <c r="X815" t="str">
        <f t="shared" ca="1" si="51"/>
        <v/>
      </c>
    </row>
    <row r="816" spans="1:24" x14ac:dyDescent="0.25">
      <c r="A816" t="s">
        <v>1653</v>
      </c>
      <c r="B816" t="s">
        <v>1654</v>
      </c>
      <c r="C816" t="s">
        <v>12</v>
      </c>
      <c r="D816" t="s">
        <v>31</v>
      </c>
      <c r="E816" s="1">
        <v>44644</v>
      </c>
      <c r="F816" t="s">
        <v>19</v>
      </c>
      <c r="G816">
        <v>12837</v>
      </c>
      <c r="H816">
        <v>5084</v>
      </c>
      <c r="I816">
        <v>3.1</v>
      </c>
      <c r="J816">
        <v>37</v>
      </c>
      <c r="M816" t="str">
        <f t="shared" ca="1" si="48"/>
        <v/>
      </c>
      <c r="N816" s="3" t="str" cm="1">
        <f t="array" ref="N816">_xlfn.IFS(I816&gt;=3.5,"Excellent",I816&gt;=3,"Good",I816&gt;=2,"Average",I816&lt;2,"Poor")</f>
        <v>Good</v>
      </c>
      <c r="P816" t="str">
        <f t="shared" si="49"/>
        <v/>
      </c>
      <c r="Q816">
        <f t="shared" si="50"/>
        <v>283769</v>
      </c>
      <c r="R816">
        <v>2022</v>
      </c>
      <c r="X816">
        <f t="shared" ca="1" si="51"/>
        <v>1205</v>
      </c>
    </row>
    <row r="817" spans="1:24" x14ac:dyDescent="0.25">
      <c r="A817" t="s">
        <v>1655</v>
      </c>
      <c r="B817" t="s">
        <v>1656</v>
      </c>
      <c r="C817" t="s">
        <v>28</v>
      </c>
      <c r="D817" t="s">
        <v>13</v>
      </c>
      <c r="E817" s="1">
        <v>45434</v>
      </c>
      <c r="F817" t="s">
        <v>19</v>
      </c>
      <c r="G817">
        <v>3199</v>
      </c>
      <c r="H817">
        <v>5772</v>
      </c>
      <c r="I817">
        <v>2.14</v>
      </c>
      <c r="J817">
        <v>5</v>
      </c>
      <c r="M817" t="str">
        <f t="shared" ca="1" si="48"/>
        <v/>
      </c>
      <c r="N817" s="3" t="str" cm="1">
        <f t="array" ref="N817">_xlfn.IFS(I817&gt;=3.5,"Excellent",I817&gt;=3,"Good",I817&gt;=2,"Average",I817&lt;2,"Poor")</f>
        <v>Average</v>
      </c>
      <c r="P817" t="str">
        <f t="shared" si="49"/>
        <v>True</v>
      </c>
      <c r="Q817">
        <f t="shared" si="50"/>
        <v>283769</v>
      </c>
      <c r="R817">
        <v>2024</v>
      </c>
      <c r="X817">
        <f t="shared" ca="1" si="51"/>
        <v>415</v>
      </c>
    </row>
    <row r="818" spans="1:24" x14ac:dyDescent="0.25">
      <c r="A818" t="s">
        <v>1657</v>
      </c>
      <c r="B818" t="s">
        <v>1658</v>
      </c>
      <c r="C818" t="s">
        <v>12</v>
      </c>
      <c r="D818" t="s">
        <v>31</v>
      </c>
      <c r="E818" s="1">
        <v>45414</v>
      </c>
      <c r="F818" t="s">
        <v>19</v>
      </c>
      <c r="G818">
        <v>2199</v>
      </c>
      <c r="H818">
        <v>5986</v>
      </c>
      <c r="I818">
        <v>3.13</v>
      </c>
      <c r="J818">
        <v>33</v>
      </c>
      <c r="M818" t="str">
        <f t="shared" ca="1" si="48"/>
        <v/>
      </c>
      <c r="N818" s="3" t="str" cm="1">
        <f t="array" ref="N818">_xlfn.IFS(I818&gt;=3.5,"Excellent",I818&gt;=3,"Good",I818&gt;=2,"Average",I818&lt;2,"Poor")</f>
        <v>Good</v>
      </c>
      <c r="P818" t="str">
        <f t="shared" si="49"/>
        <v>True</v>
      </c>
      <c r="Q818">
        <f t="shared" si="50"/>
        <v>283769</v>
      </c>
      <c r="R818">
        <v>2024</v>
      </c>
      <c r="X818">
        <f t="shared" ca="1" si="51"/>
        <v>435</v>
      </c>
    </row>
    <row r="819" spans="1:24" x14ac:dyDescent="0.25">
      <c r="A819" t="s">
        <v>1659</v>
      </c>
      <c r="B819" t="s">
        <v>1660</v>
      </c>
      <c r="C819" t="s">
        <v>28</v>
      </c>
      <c r="D819" t="s">
        <v>31</v>
      </c>
      <c r="E819" s="1">
        <v>45384</v>
      </c>
      <c r="F819" t="s">
        <v>19</v>
      </c>
      <c r="G819">
        <v>2150</v>
      </c>
      <c r="H819">
        <v>6873</v>
      </c>
      <c r="I819">
        <v>2.11</v>
      </c>
      <c r="J819">
        <v>23</v>
      </c>
      <c r="M819" t="str">
        <f t="shared" ca="1" si="48"/>
        <v/>
      </c>
      <c r="N819" s="3" t="str" cm="1">
        <f t="array" ref="N819">_xlfn.IFS(I819&gt;=3.5,"Excellent",I819&gt;=3,"Good",I819&gt;=2,"Average",I819&lt;2,"Poor")</f>
        <v>Average</v>
      </c>
      <c r="P819" t="str">
        <f t="shared" si="49"/>
        <v>True</v>
      </c>
      <c r="Q819">
        <f t="shared" si="50"/>
        <v>283769</v>
      </c>
      <c r="R819">
        <v>2024</v>
      </c>
      <c r="X819">
        <f t="shared" ca="1" si="51"/>
        <v>465</v>
      </c>
    </row>
    <row r="820" spans="1:24" x14ac:dyDescent="0.25">
      <c r="A820" t="s">
        <v>1661</v>
      </c>
      <c r="B820" t="s">
        <v>1662</v>
      </c>
      <c r="C820" t="s">
        <v>17</v>
      </c>
      <c r="D820" t="s">
        <v>62</v>
      </c>
      <c r="E820" s="1">
        <v>45461</v>
      </c>
      <c r="F820" t="s">
        <v>39</v>
      </c>
      <c r="G820">
        <v>9905</v>
      </c>
      <c r="H820">
        <v>6715</v>
      </c>
      <c r="I820">
        <v>2.12</v>
      </c>
      <c r="J820">
        <v>101</v>
      </c>
      <c r="M820" t="str">
        <f t="shared" ca="1" si="48"/>
        <v/>
      </c>
      <c r="N820" s="3" t="str" cm="1">
        <f t="array" ref="N820">_xlfn.IFS(I820&gt;=3.5,"Excellent",I820&gt;=3,"Good",I820&gt;=2,"Average",I820&lt;2,"Poor")</f>
        <v>Average</v>
      </c>
      <c r="P820" t="str">
        <f t="shared" si="49"/>
        <v>True</v>
      </c>
      <c r="Q820">
        <f t="shared" si="50"/>
        <v>283769</v>
      </c>
      <c r="R820">
        <v>2024</v>
      </c>
      <c r="X820" t="str">
        <f t="shared" ca="1" si="51"/>
        <v/>
      </c>
    </row>
    <row r="821" spans="1:24" x14ac:dyDescent="0.25">
      <c r="A821" t="s">
        <v>1663</v>
      </c>
      <c r="B821" t="s">
        <v>1664</v>
      </c>
      <c r="C821" t="s">
        <v>12</v>
      </c>
      <c r="D821" t="s">
        <v>62</v>
      </c>
      <c r="E821" s="1">
        <v>44841</v>
      </c>
      <c r="F821" t="s">
        <v>14</v>
      </c>
      <c r="G821">
        <v>2124</v>
      </c>
      <c r="H821">
        <v>464</v>
      </c>
      <c r="I821">
        <v>3.19</v>
      </c>
      <c r="J821">
        <v>39</v>
      </c>
      <c r="M821">
        <f t="shared" ca="1" si="48"/>
        <v>1008</v>
      </c>
      <c r="N821" s="3" t="str" cm="1">
        <f t="array" ref="N821">_xlfn.IFS(I821&gt;=3.5,"Excellent",I821&gt;=3,"Good",I821&gt;=2,"Average",I821&lt;2,"Poor")</f>
        <v>Good</v>
      </c>
      <c r="P821" t="str">
        <f t="shared" si="49"/>
        <v/>
      </c>
      <c r="Q821">
        <f t="shared" si="50"/>
        <v>283769</v>
      </c>
      <c r="R821">
        <v>2022</v>
      </c>
      <c r="X821" t="str">
        <f t="shared" ca="1" si="51"/>
        <v/>
      </c>
    </row>
    <row r="822" spans="1:24" x14ac:dyDescent="0.25">
      <c r="A822" t="s">
        <v>1665</v>
      </c>
      <c r="B822" t="s">
        <v>1666</v>
      </c>
      <c r="C822" t="s">
        <v>57</v>
      </c>
      <c r="D822" t="s">
        <v>13</v>
      </c>
      <c r="E822" s="1">
        <v>45432</v>
      </c>
      <c r="F822" t="s">
        <v>14</v>
      </c>
      <c r="G822">
        <v>2690</v>
      </c>
      <c r="H822">
        <v>7185</v>
      </c>
      <c r="I822">
        <v>2.06</v>
      </c>
      <c r="J822">
        <v>15</v>
      </c>
      <c r="M822">
        <f t="shared" ca="1" si="48"/>
        <v>417</v>
      </c>
      <c r="N822" s="3" t="str" cm="1">
        <f t="array" ref="N822">_xlfn.IFS(I822&gt;=3.5,"Excellent",I822&gt;=3,"Good",I822&gt;=2,"Average",I822&lt;2,"Poor")</f>
        <v>Average</v>
      </c>
      <c r="P822" t="str">
        <f t="shared" si="49"/>
        <v>True</v>
      </c>
      <c r="Q822">
        <f t="shared" si="50"/>
        <v>283769</v>
      </c>
      <c r="R822">
        <v>2024</v>
      </c>
      <c r="X822" t="str">
        <f t="shared" ca="1" si="51"/>
        <v/>
      </c>
    </row>
    <row r="823" spans="1:24" x14ac:dyDescent="0.25">
      <c r="A823" t="s">
        <v>1667</v>
      </c>
      <c r="B823" t="s">
        <v>1668</v>
      </c>
      <c r="C823" t="s">
        <v>57</v>
      </c>
      <c r="D823" t="s">
        <v>62</v>
      </c>
      <c r="E823" s="1">
        <v>44770</v>
      </c>
      <c r="F823" t="s">
        <v>14</v>
      </c>
      <c r="G823">
        <v>13523</v>
      </c>
      <c r="H823">
        <v>1946</v>
      </c>
      <c r="I823">
        <v>2.35</v>
      </c>
      <c r="J823">
        <v>2</v>
      </c>
      <c r="M823">
        <f t="shared" ca="1" si="48"/>
        <v>1079</v>
      </c>
      <c r="N823" s="3" t="str" cm="1">
        <f t="array" ref="N823">_xlfn.IFS(I823&gt;=3.5,"Excellent",I823&gt;=3,"Good",I823&gt;=2,"Average",I823&lt;2,"Poor")</f>
        <v>Average</v>
      </c>
      <c r="P823" t="str">
        <f t="shared" si="49"/>
        <v/>
      </c>
      <c r="Q823">
        <f t="shared" si="50"/>
        <v>283769</v>
      </c>
      <c r="R823">
        <v>2022</v>
      </c>
      <c r="X823" t="str">
        <f t="shared" ca="1" si="51"/>
        <v/>
      </c>
    </row>
    <row r="824" spans="1:24" x14ac:dyDescent="0.25">
      <c r="A824" t="s">
        <v>1669</v>
      </c>
      <c r="B824" t="s">
        <v>1670</v>
      </c>
      <c r="C824" t="s">
        <v>22</v>
      </c>
      <c r="D824" t="s">
        <v>31</v>
      </c>
      <c r="E824" s="1">
        <v>44631</v>
      </c>
      <c r="F824" t="s">
        <v>14</v>
      </c>
      <c r="G824">
        <v>13442</v>
      </c>
      <c r="H824">
        <v>1267</v>
      </c>
      <c r="I824">
        <v>3.66</v>
      </c>
      <c r="J824">
        <v>72</v>
      </c>
      <c r="M824">
        <f t="shared" ca="1" si="48"/>
        <v>1218</v>
      </c>
      <c r="N824" s="3" t="str" cm="1">
        <f t="array" ref="N824">_xlfn.IFS(I824&gt;=3.5,"Excellent",I824&gt;=3,"Good",I824&gt;=2,"Average",I824&lt;2,"Poor")</f>
        <v>Excellent</v>
      </c>
      <c r="P824" t="str">
        <f t="shared" si="49"/>
        <v/>
      </c>
      <c r="Q824">
        <f t="shared" si="50"/>
        <v>283769</v>
      </c>
      <c r="R824">
        <v>2022</v>
      </c>
      <c r="X824" t="str">
        <f t="shared" ca="1" si="51"/>
        <v/>
      </c>
    </row>
    <row r="825" spans="1:24" x14ac:dyDescent="0.25">
      <c r="A825" t="s">
        <v>1671</v>
      </c>
      <c r="B825" t="s">
        <v>1672</v>
      </c>
      <c r="C825" t="s">
        <v>25</v>
      </c>
      <c r="D825" t="s">
        <v>18</v>
      </c>
      <c r="E825" s="1">
        <v>45327</v>
      </c>
      <c r="F825" t="s">
        <v>19</v>
      </c>
      <c r="G825">
        <v>6885</v>
      </c>
      <c r="H825">
        <v>386</v>
      </c>
      <c r="I825">
        <v>2.57</v>
      </c>
      <c r="J825">
        <v>111</v>
      </c>
      <c r="M825" t="str">
        <f t="shared" ca="1" si="48"/>
        <v/>
      </c>
      <c r="N825" s="3" t="str" cm="1">
        <f t="array" ref="N825">_xlfn.IFS(I825&gt;=3.5,"Excellent",I825&gt;=3,"Good",I825&gt;=2,"Average",I825&lt;2,"Poor")</f>
        <v>Average</v>
      </c>
      <c r="P825" t="str">
        <f t="shared" si="49"/>
        <v/>
      </c>
      <c r="Q825">
        <f t="shared" si="50"/>
        <v>283769</v>
      </c>
      <c r="R825">
        <v>2024</v>
      </c>
      <c r="X825">
        <f t="shared" ca="1" si="51"/>
        <v>522</v>
      </c>
    </row>
    <row r="826" spans="1:24" x14ac:dyDescent="0.25">
      <c r="A826" t="s">
        <v>1673</v>
      </c>
      <c r="B826" t="s">
        <v>1674</v>
      </c>
      <c r="C826" t="s">
        <v>36</v>
      </c>
      <c r="D826" t="s">
        <v>62</v>
      </c>
      <c r="E826" s="1">
        <v>44618</v>
      </c>
      <c r="F826" t="s">
        <v>19</v>
      </c>
      <c r="G826">
        <v>5021</v>
      </c>
      <c r="H826">
        <v>5227</v>
      </c>
      <c r="I826">
        <v>3.65</v>
      </c>
      <c r="J826">
        <v>97</v>
      </c>
      <c r="M826" t="str">
        <f t="shared" ca="1" si="48"/>
        <v/>
      </c>
      <c r="N826" s="3" t="str" cm="1">
        <f t="array" ref="N826">_xlfn.IFS(I826&gt;=3.5,"Excellent",I826&gt;=3,"Good",I826&gt;=2,"Average",I826&lt;2,"Poor")</f>
        <v>Excellent</v>
      </c>
      <c r="P826" t="str">
        <f t="shared" si="49"/>
        <v>True</v>
      </c>
      <c r="Q826">
        <f t="shared" si="50"/>
        <v>276884</v>
      </c>
      <c r="R826">
        <v>2022</v>
      </c>
      <c r="X826">
        <f t="shared" ca="1" si="51"/>
        <v>1231</v>
      </c>
    </row>
    <row r="827" spans="1:24" x14ac:dyDescent="0.25">
      <c r="A827" t="s">
        <v>1675</v>
      </c>
      <c r="B827" t="s">
        <v>1676</v>
      </c>
      <c r="C827" t="s">
        <v>17</v>
      </c>
      <c r="D827" t="s">
        <v>31</v>
      </c>
      <c r="E827" s="1">
        <v>44613</v>
      </c>
      <c r="F827" t="s">
        <v>14</v>
      </c>
      <c r="G827">
        <v>7061</v>
      </c>
      <c r="H827">
        <v>7017</v>
      </c>
      <c r="I827">
        <v>3.69</v>
      </c>
      <c r="J827">
        <v>26</v>
      </c>
      <c r="M827">
        <f t="shared" ca="1" si="48"/>
        <v>1236</v>
      </c>
      <c r="N827" s="3" t="str" cm="1">
        <f t="array" ref="N827">_xlfn.IFS(I827&gt;=3.5,"Excellent",I827&gt;=3,"Good",I827&gt;=2,"Average",I827&lt;2,"Poor")</f>
        <v>Excellent</v>
      </c>
      <c r="P827" t="str">
        <f t="shared" si="49"/>
        <v>True</v>
      </c>
      <c r="Q827">
        <f t="shared" si="50"/>
        <v>276884</v>
      </c>
      <c r="R827">
        <v>2022</v>
      </c>
      <c r="X827" t="str">
        <f t="shared" ca="1" si="51"/>
        <v/>
      </c>
    </row>
    <row r="828" spans="1:24" x14ac:dyDescent="0.25">
      <c r="A828" t="s">
        <v>1677</v>
      </c>
      <c r="B828" t="s">
        <v>1678</v>
      </c>
      <c r="C828" t="s">
        <v>12</v>
      </c>
      <c r="D828" t="s">
        <v>62</v>
      </c>
      <c r="E828" s="1">
        <v>45409</v>
      </c>
      <c r="F828" t="s">
        <v>19</v>
      </c>
      <c r="G828">
        <v>7729</v>
      </c>
      <c r="H828">
        <v>3775</v>
      </c>
      <c r="I828">
        <v>2.08</v>
      </c>
      <c r="J828">
        <v>59</v>
      </c>
      <c r="M828" t="str">
        <f t="shared" ca="1" si="48"/>
        <v/>
      </c>
      <c r="N828" s="3" t="str" cm="1">
        <f t="array" ref="N828">_xlfn.IFS(I828&gt;=3.5,"Excellent",I828&gt;=3,"Good",I828&gt;=2,"Average",I828&lt;2,"Poor")</f>
        <v>Average</v>
      </c>
      <c r="P828" t="str">
        <f t="shared" si="49"/>
        <v/>
      </c>
      <c r="Q828">
        <f t="shared" si="50"/>
        <v>276884</v>
      </c>
      <c r="R828">
        <v>2024</v>
      </c>
      <c r="X828">
        <f t="shared" ca="1" si="51"/>
        <v>440</v>
      </c>
    </row>
    <row r="829" spans="1:24" x14ac:dyDescent="0.25">
      <c r="A829" t="s">
        <v>1679</v>
      </c>
      <c r="B829" t="s">
        <v>1680</v>
      </c>
      <c r="C829" t="s">
        <v>54</v>
      </c>
      <c r="D829" t="s">
        <v>18</v>
      </c>
      <c r="E829" s="1">
        <v>44638</v>
      </c>
      <c r="F829" t="s">
        <v>19</v>
      </c>
      <c r="G829">
        <v>12330</v>
      </c>
      <c r="H829">
        <v>3766</v>
      </c>
      <c r="I829">
        <v>3.85</v>
      </c>
      <c r="J829">
        <v>59</v>
      </c>
      <c r="M829" t="str">
        <f t="shared" ca="1" si="48"/>
        <v/>
      </c>
      <c r="N829" s="3" t="str" cm="1">
        <f t="array" ref="N829">_xlfn.IFS(I829&gt;=3.5,"Excellent",I829&gt;=3,"Good",I829&gt;=2,"Average",I829&lt;2,"Poor")</f>
        <v>Excellent</v>
      </c>
      <c r="P829" t="str">
        <f t="shared" si="49"/>
        <v/>
      </c>
      <c r="Q829">
        <f t="shared" si="50"/>
        <v>276884</v>
      </c>
      <c r="R829">
        <v>2022</v>
      </c>
      <c r="X829">
        <f t="shared" ca="1" si="51"/>
        <v>1211</v>
      </c>
    </row>
    <row r="830" spans="1:24" x14ac:dyDescent="0.25">
      <c r="A830" t="s">
        <v>1681</v>
      </c>
      <c r="B830" t="s">
        <v>1682</v>
      </c>
      <c r="C830" t="s">
        <v>22</v>
      </c>
      <c r="D830" t="s">
        <v>31</v>
      </c>
      <c r="E830" s="1">
        <v>44649</v>
      </c>
      <c r="F830" t="s">
        <v>19</v>
      </c>
      <c r="G830">
        <v>11714</v>
      </c>
      <c r="H830">
        <v>8902</v>
      </c>
      <c r="I830">
        <v>2.66</v>
      </c>
      <c r="J830">
        <v>87</v>
      </c>
      <c r="M830" t="str">
        <f t="shared" ca="1" si="48"/>
        <v/>
      </c>
      <c r="N830" s="3" t="str" cm="1">
        <f t="array" ref="N830">_xlfn.IFS(I830&gt;=3.5,"Excellent",I830&gt;=3,"Good",I830&gt;=2,"Average",I830&lt;2,"Poor")</f>
        <v>Average</v>
      </c>
      <c r="P830" t="str">
        <f t="shared" si="49"/>
        <v>True</v>
      </c>
      <c r="Q830">
        <f t="shared" si="50"/>
        <v>264554</v>
      </c>
      <c r="R830">
        <v>2022</v>
      </c>
      <c r="X830">
        <f t="shared" ca="1" si="51"/>
        <v>1200</v>
      </c>
    </row>
    <row r="831" spans="1:24" x14ac:dyDescent="0.25">
      <c r="A831" t="s">
        <v>1683</v>
      </c>
      <c r="B831" t="s">
        <v>1684</v>
      </c>
      <c r="C831" t="s">
        <v>12</v>
      </c>
      <c r="D831" t="s">
        <v>18</v>
      </c>
      <c r="E831" s="1">
        <v>44641</v>
      </c>
      <c r="F831" t="s">
        <v>19</v>
      </c>
      <c r="G831">
        <v>11559</v>
      </c>
      <c r="H831">
        <v>7261</v>
      </c>
      <c r="I831">
        <v>3.35</v>
      </c>
      <c r="J831">
        <v>13</v>
      </c>
      <c r="M831" t="str">
        <f t="shared" ca="1" si="48"/>
        <v/>
      </c>
      <c r="N831" s="3" t="str" cm="1">
        <f t="array" ref="N831">_xlfn.IFS(I831&gt;=3.5,"Excellent",I831&gt;=3,"Good",I831&gt;=2,"Average",I831&lt;2,"Poor")</f>
        <v>Good</v>
      </c>
      <c r="P831" t="str">
        <f t="shared" si="49"/>
        <v>True</v>
      </c>
      <c r="Q831">
        <f t="shared" si="50"/>
        <v>264554</v>
      </c>
      <c r="R831">
        <v>2022</v>
      </c>
      <c r="X831">
        <f t="shared" ca="1" si="51"/>
        <v>1208</v>
      </c>
    </row>
    <row r="832" spans="1:24" x14ac:dyDescent="0.25">
      <c r="A832" t="s">
        <v>1685</v>
      </c>
      <c r="B832" t="s">
        <v>1686</v>
      </c>
      <c r="C832" t="s">
        <v>57</v>
      </c>
      <c r="D832" t="s">
        <v>62</v>
      </c>
      <c r="E832" s="1">
        <v>45345</v>
      </c>
      <c r="F832" t="s">
        <v>14</v>
      </c>
      <c r="G832">
        <v>14978</v>
      </c>
      <c r="H832">
        <v>1326</v>
      </c>
      <c r="I832">
        <v>2.2400000000000002</v>
      </c>
      <c r="J832">
        <v>12</v>
      </c>
      <c r="M832">
        <f t="shared" ca="1" si="48"/>
        <v>504</v>
      </c>
      <c r="N832" s="3" t="str" cm="1">
        <f t="array" ref="N832">_xlfn.IFS(I832&gt;=3.5,"Excellent",I832&gt;=3,"Good",I832&gt;=2,"Average",I832&lt;2,"Poor")</f>
        <v>Average</v>
      </c>
      <c r="P832" t="str">
        <f t="shared" si="49"/>
        <v/>
      </c>
      <c r="Q832">
        <f t="shared" si="50"/>
        <v>252995</v>
      </c>
      <c r="R832">
        <v>2024</v>
      </c>
      <c r="X832" t="str">
        <f t="shared" ca="1" si="51"/>
        <v/>
      </c>
    </row>
    <row r="833" spans="1:24" x14ac:dyDescent="0.25">
      <c r="A833" t="s">
        <v>1687</v>
      </c>
      <c r="B833" t="s">
        <v>1688</v>
      </c>
      <c r="C833" t="s">
        <v>54</v>
      </c>
      <c r="D833" t="s">
        <v>13</v>
      </c>
      <c r="E833" s="1">
        <v>44615</v>
      </c>
      <c r="F833" t="s">
        <v>14</v>
      </c>
      <c r="G833">
        <v>11976</v>
      </c>
      <c r="H833">
        <v>1826</v>
      </c>
      <c r="I833">
        <v>2.2200000000000002</v>
      </c>
      <c r="J833">
        <v>10</v>
      </c>
      <c r="M833">
        <f t="shared" ca="1" si="48"/>
        <v>1234</v>
      </c>
      <c r="N833" s="3" t="str" cm="1">
        <f t="array" ref="N833">_xlfn.IFS(I833&gt;=3.5,"Excellent",I833&gt;=3,"Good",I833&gt;=2,"Average",I833&lt;2,"Poor")</f>
        <v>Average</v>
      </c>
      <c r="P833" t="str">
        <f t="shared" si="49"/>
        <v/>
      </c>
      <c r="Q833">
        <f t="shared" si="50"/>
        <v>252995</v>
      </c>
      <c r="R833">
        <v>2022</v>
      </c>
      <c r="X833" t="str">
        <f t="shared" ca="1" si="51"/>
        <v/>
      </c>
    </row>
    <row r="834" spans="1:24" x14ac:dyDescent="0.25">
      <c r="A834" t="s">
        <v>1689</v>
      </c>
      <c r="B834" t="s">
        <v>1690</v>
      </c>
      <c r="C834" t="s">
        <v>22</v>
      </c>
      <c r="D834" t="s">
        <v>18</v>
      </c>
      <c r="E834" s="1">
        <v>44930</v>
      </c>
      <c r="F834" t="s">
        <v>14</v>
      </c>
      <c r="G834">
        <v>14178</v>
      </c>
      <c r="H834">
        <v>2222</v>
      </c>
      <c r="I834">
        <v>3.45</v>
      </c>
      <c r="J834">
        <v>91</v>
      </c>
      <c r="M834">
        <f t="shared" ca="1" si="48"/>
        <v>919</v>
      </c>
      <c r="N834" s="3" t="str" cm="1">
        <f t="array" ref="N834">_xlfn.IFS(I834&gt;=3.5,"Excellent",I834&gt;=3,"Good",I834&gt;=2,"Average",I834&lt;2,"Poor")</f>
        <v>Good</v>
      </c>
      <c r="P834" t="str">
        <f t="shared" si="49"/>
        <v/>
      </c>
      <c r="Q834">
        <f t="shared" si="50"/>
        <v>252995</v>
      </c>
      <c r="R834">
        <v>2023</v>
      </c>
      <c r="X834" t="str">
        <f t="shared" ca="1" si="51"/>
        <v/>
      </c>
    </row>
    <row r="835" spans="1:24" x14ac:dyDescent="0.25">
      <c r="A835" t="s">
        <v>1691</v>
      </c>
      <c r="B835" t="s">
        <v>1692</v>
      </c>
      <c r="C835" t="s">
        <v>17</v>
      </c>
      <c r="D835" t="s">
        <v>13</v>
      </c>
      <c r="E835" s="1">
        <v>44611</v>
      </c>
      <c r="F835" t="s">
        <v>14</v>
      </c>
      <c r="G835">
        <v>12592</v>
      </c>
      <c r="H835">
        <v>161</v>
      </c>
      <c r="I835">
        <v>2.27</v>
      </c>
      <c r="J835">
        <v>68</v>
      </c>
      <c r="M835">
        <f t="shared" ref="M835:M898" ca="1" si="52">IF(F835="Enrolled",TODAY()-E835,"")</f>
        <v>1238</v>
      </c>
      <c r="N835" s="3" t="str" cm="1">
        <f t="array" ref="N835">_xlfn.IFS(I835&gt;=3.5,"Excellent",I835&gt;=3,"Good",I835&gt;=2,"Average",I835&lt;2,"Poor")</f>
        <v>Average</v>
      </c>
      <c r="P835" t="str">
        <f t="shared" ref="P835:P898" si="53">IF(H835&gt;0.5*G835,"True","")</f>
        <v/>
      </c>
      <c r="Q835">
        <f t="shared" ref="Q835:Q898" si="54">SUMIFS(G835:G2034,F835:F2034,"Completed",D835:D2034,"Science")</f>
        <v>252995</v>
      </c>
      <c r="R835">
        <v>2022</v>
      </c>
      <c r="X835" t="str">
        <f t="shared" ref="X835:X898" ca="1" si="55">IF(F835="Completed",TODAY()-E835,"")</f>
        <v/>
      </c>
    </row>
    <row r="836" spans="1:24" x14ac:dyDescent="0.25">
      <c r="A836" t="s">
        <v>1693</v>
      </c>
      <c r="B836" t="s">
        <v>1694</v>
      </c>
      <c r="C836" t="s">
        <v>22</v>
      </c>
      <c r="D836" t="s">
        <v>18</v>
      </c>
      <c r="E836" s="1">
        <v>44964</v>
      </c>
      <c r="F836" t="s">
        <v>19</v>
      </c>
      <c r="G836">
        <v>2380</v>
      </c>
      <c r="H836">
        <v>9095</v>
      </c>
      <c r="I836">
        <v>2.41</v>
      </c>
      <c r="J836">
        <v>3</v>
      </c>
      <c r="M836" t="str">
        <f t="shared" ca="1" si="52"/>
        <v/>
      </c>
      <c r="N836" s="3" t="str" cm="1">
        <f t="array" ref="N836">_xlfn.IFS(I836&gt;=3.5,"Excellent",I836&gt;=3,"Good",I836&gt;=2,"Average",I836&lt;2,"Poor")</f>
        <v>Average</v>
      </c>
      <c r="P836" t="str">
        <f t="shared" si="53"/>
        <v>True</v>
      </c>
      <c r="Q836">
        <f t="shared" si="54"/>
        <v>252995</v>
      </c>
      <c r="R836">
        <v>2023</v>
      </c>
      <c r="X836">
        <f t="shared" ca="1" si="55"/>
        <v>885</v>
      </c>
    </row>
    <row r="837" spans="1:24" x14ac:dyDescent="0.25">
      <c r="A837" t="s">
        <v>1695</v>
      </c>
      <c r="B837" t="s">
        <v>1696</v>
      </c>
      <c r="C837" t="s">
        <v>12</v>
      </c>
      <c r="D837" t="s">
        <v>31</v>
      </c>
      <c r="E837" s="1">
        <v>44987</v>
      </c>
      <c r="F837" t="s">
        <v>14</v>
      </c>
      <c r="G837">
        <v>3078</v>
      </c>
      <c r="H837">
        <v>3622</v>
      </c>
      <c r="I837">
        <v>3.39</v>
      </c>
      <c r="J837">
        <v>72</v>
      </c>
      <c r="M837">
        <f t="shared" ca="1" si="52"/>
        <v>862</v>
      </c>
      <c r="N837" s="3" t="str" cm="1">
        <f t="array" ref="N837">_xlfn.IFS(I837&gt;=3.5,"Excellent",I837&gt;=3,"Good",I837&gt;=2,"Average",I837&lt;2,"Poor")</f>
        <v>Good</v>
      </c>
      <c r="P837" t="str">
        <f t="shared" si="53"/>
        <v>True</v>
      </c>
      <c r="Q837">
        <f t="shared" si="54"/>
        <v>250615</v>
      </c>
      <c r="R837">
        <v>2023</v>
      </c>
      <c r="X837" t="str">
        <f t="shared" ca="1" si="55"/>
        <v/>
      </c>
    </row>
    <row r="838" spans="1:24" x14ac:dyDescent="0.25">
      <c r="A838" t="s">
        <v>1697</v>
      </c>
      <c r="B838" t="s">
        <v>1698</v>
      </c>
      <c r="C838" t="s">
        <v>36</v>
      </c>
      <c r="D838" t="s">
        <v>31</v>
      </c>
      <c r="E838" s="1">
        <v>45321</v>
      </c>
      <c r="F838" t="s">
        <v>39</v>
      </c>
      <c r="G838">
        <v>6374</v>
      </c>
      <c r="H838">
        <v>1397</v>
      </c>
      <c r="I838">
        <v>2.91</v>
      </c>
      <c r="J838">
        <v>52</v>
      </c>
      <c r="M838" t="str">
        <f t="shared" ca="1" si="52"/>
        <v/>
      </c>
      <c r="N838" s="3" t="str" cm="1">
        <f t="array" ref="N838">_xlfn.IFS(I838&gt;=3.5,"Excellent",I838&gt;=3,"Good",I838&gt;=2,"Average",I838&lt;2,"Poor")</f>
        <v>Average</v>
      </c>
      <c r="P838" t="str">
        <f t="shared" si="53"/>
        <v/>
      </c>
      <c r="Q838">
        <f t="shared" si="54"/>
        <v>250615</v>
      </c>
      <c r="R838">
        <v>2024</v>
      </c>
      <c r="X838" t="str">
        <f t="shared" ca="1" si="55"/>
        <v/>
      </c>
    </row>
    <row r="839" spans="1:24" x14ac:dyDescent="0.25">
      <c r="A839" t="s">
        <v>1699</v>
      </c>
      <c r="B839" t="s">
        <v>1700</v>
      </c>
      <c r="C839" t="s">
        <v>36</v>
      </c>
      <c r="D839" t="s">
        <v>18</v>
      </c>
      <c r="E839" s="1">
        <v>45202</v>
      </c>
      <c r="F839" t="s">
        <v>19</v>
      </c>
      <c r="G839">
        <v>3040</v>
      </c>
      <c r="H839">
        <v>5676</v>
      </c>
      <c r="I839">
        <v>3.86</v>
      </c>
      <c r="J839">
        <v>92</v>
      </c>
      <c r="M839" t="str">
        <f t="shared" ca="1" si="52"/>
        <v/>
      </c>
      <c r="N839" s="3" t="str" cm="1">
        <f t="array" ref="N839">_xlfn.IFS(I839&gt;=3.5,"Excellent",I839&gt;=3,"Good",I839&gt;=2,"Average",I839&lt;2,"Poor")</f>
        <v>Excellent</v>
      </c>
      <c r="P839" t="str">
        <f t="shared" si="53"/>
        <v>True</v>
      </c>
      <c r="Q839">
        <f t="shared" si="54"/>
        <v>250615</v>
      </c>
      <c r="R839">
        <v>2023</v>
      </c>
      <c r="X839">
        <f t="shared" ca="1" si="55"/>
        <v>647</v>
      </c>
    </row>
    <row r="840" spans="1:24" x14ac:dyDescent="0.25">
      <c r="A840" t="s">
        <v>1701</v>
      </c>
      <c r="B840" t="s">
        <v>1702</v>
      </c>
      <c r="C840" t="s">
        <v>12</v>
      </c>
      <c r="D840" t="s">
        <v>31</v>
      </c>
      <c r="E840" s="1">
        <v>44725</v>
      </c>
      <c r="F840" t="s">
        <v>19</v>
      </c>
      <c r="G840">
        <v>13689</v>
      </c>
      <c r="H840">
        <v>313</v>
      </c>
      <c r="I840">
        <v>3.95</v>
      </c>
      <c r="J840">
        <v>78</v>
      </c>
      <c r="M840" t="str">
        <f t="shared" ca="1" si="52"/>
        <v/>
      </c>
      <c r="N840" s="3" t="str" cm="1">
        <f t="array" ref="N840">_xlfn.IFS(I840&gt;=3.5,"Excellent",I840&gt;=3,"Good",I840&gt;=2,"Average",I840&lt;2,"Poor")</f>
        <v>Excellent</v>
      </c>
      <c r="P840" t="str">
        <f t="shared" si="53"/>
        <v/>
      </c>
      <c r="Q840">
        <f t="shared" si="54"/>
        <v>247575</v>
      </c>
      <c r="R840">
        <v>2022</v>
      </c>
      <c r="X840">
        <f t="shared" ca="1" si="55"/>
        <v>1124</v>
      </c>
    </row>
    <row r="841" spans="1:24" x14ac:dyDescent="0.25">
      <c r="A841" t="s">
        <v>1703</v>
      </c>
      <c r="B841" t="s">
        <v>1704</v>
      </c>
      <c r="C841" t="s">
        <v>12</v>
      </c>
      <c r="D841" t="s">
        <v>18</v>
      </c>
      <c r="E841" s="1">
        <v>44958</v>
      </c>
      <c r="F841" t="s">
        <v>14</v>
      </c>
      <c r="G841">
        <v>6036</v>
      </c>
      <c r="H841">
        <v>6021</v>
      </c>
      <c r="I841">
        <v>2.17</v>
      </c>
      <c r="J841">
        <v>39</v>
      </c>
      <c r="M841">
        <f t="shared" ca="1" si="52"/>
        <v>891</v>
      </c>
      <c r="N841" s="3" t="str" cm="1">
        <f t="array" ref="N841">_xlfn.IFS(I841&gt;=3.5,"Excellent",I841&gt;=3,"Good",I841&gt;=2,"Average",I841&lt;2,"Poor")</f>
        <v>Average</v>
      </c>
      <c r="P841" t="str">
        <f t="shared" si="53"/>
        <v>True</v>
      </c>
      <c r="Q841">
        <f t="shared" si="54"/>
        <v>247575</v>
      </c>
      <c r="R841">
        <v>2023</v>
      </c>
      <c r="X841" t="str">
        <f t="shared" ca="1" si="55"/>
        <v/>
      </c>
    </row>
    <row r="842" spans="1:24" x14ac:dyDescent="0.25">
      <c r="A842" t="s">
        <v>1705</v>
      </c>
      <c r="B842" t="s">
        <v>1706</v>
      </c>
      <c r="C842" t="s">
        <v>28</v>
      </c>
      <c r="D842" t="s">
        <v>18</v>
      </c>
      <c r="E842" s="1">
        <v>45340</v>
      </c>
      <c r="F842" t="s">
        <v>19</v>
      </c>
      <c r="G842">
        <v>9926</v>
      </c>
      <c r="H842">
        <v>7453</v>
      </c>
      <c r="I842">
        <v>3.31</v>
      </c>
      <c r="J842">
        <v>7</v>
      </c>
      <c r="M842" t="str">
        <f t="shared" ca="1" si="52"/>
        <v/>
      </c>
      <c r="N842" s="3" t="str" cm="1">
        <f t="array" ref="N842">_xlfn.IFS(I842&gt;=3.5,"Excellent",I842&gt;=3,"Good",I842&gt;=2,"Average",I842&lt;2,"Poor")</f>
        <v>Good</v>
      </c>
      <c r="P842" t="str">
        <f t="shared" si="53"/>
        <v>True</v>
      </c>
      <c r="Q842">
        <f t="shared" si="54"/>
        <v>247575</v>
      </c>
      <c r="R842">
        <v>2024</v>
      </c>
      <c r="X842">
        <f t="shared" ca="1" si="55"/>
        <v>509</v>
      </c>
    </row>
    <row r="843" spans="1:24" x14ac:dyDescent="0.25">
      <c r="A843" t="s">
        <v>1707</v>
      </c>
      <c r="B843" t="s">
        <v>1708</v>
      </c>
      <c r="C843" t="s">
        <v>25</v>
      </c>
      <c r="D843" t="s">
        <v>13</v>
      </c>
      <c r="E843" s="1">
        <v>44776</v>
      </c>
      <c r="F843" t="s">
        <v>19</v>
      </c>
      <c r="G843">
        <v>9699</v>
      </c>
      <c r="H843">
        <v>354</v>
      </c>
      <c r="I843">
        <v>3.97</v>
      </c>
      <c r="J843">
        <v>25</v>
      </c>
      <c r="M843" t="str">
        <f t="shared" ca="1" si="52"/>
        <v/>
      </c>
      <c r="N843" s="3" t="str" cm="1">
        <f t="array" ref="N843">_xlfn.IFS(I843&gt;=3.5,"Excellent",I843&gt;=3,"Good",I843&gt;=2,"Average",I843&lt;2,"Poor")</f>
        <v>Excellent</v>
      </c>
      <c r="P843" t="str">
        <f t="shared" si="53"/>
        <v/>
      </c>
      <c r="Q843">
        <f t="shared" si="54"/>
        <v>237649</v>
      </c>
      <c r="R843">
        <v>2022</v>
      </c>
      <c r="X843">
        <f t="shared" ca="1" si="55"/>
        <v>1073</v>
      </c>
    </row>
    <row r="844" spans="1:24" x14ac:dyDescent="0.25">
      <c r="A844" t="s">
        <v>1709</v>
      </c>
      <c r="B844" t="s">
        <v>1710</v>
      </c>
      <c r="C844" t="s">
        <v>25</v>
      </c>
      <c r="D844" t="s">
        <v>13</v>
      </c>
      <c r="E844" s="1">
        <v>44727</v>
      </c>
      <c r="F844" t="s">
        <v>14</v>
      </c>
      <c r="G844">
        <v>7281</v>
      </c>
      <c r="H844">
        <v>5074</v>
      </c>
      <c r="I844">
        <v>3.26</v>
      </c>
      <c r="J844">
        <v>89</v>
      </c>
      <c r="M844">
        <f t="shared" ca="1" si="52"/>
        <v>1122</v>
      </c>
      <c r="N844" s="3" t="str" cm="1">
        <f t="array" ref="N844">_xlfn.IFS(I844&gt;=3.5,"Excellent",I844&gt;=3,"Good",I844&gt;=2,"Average",I844&lt;2,"Poor")</f>
        <v>Good</v>
      </c>
      <c r="P844" t="str">
        <f t="shared" si="53"/>
        <v>True</v>
      </c>
      <c r="Q844">
        <f t="shared" si="54"/>
        <v>237649</v>
      </c>
      <c r="R844">
        <v>2022</v>
      </c>
      <c r="X844" t="str">
        <f t="shared" ca="1" si="55"/>
        <v/>
      </c>
    </row>
    <row r="845" spans="1:24" x14ac:dyDescent="0.25">
      <c r="A845" t="s">
        <v>1711</v>
      </c>
      <c r="B845" t="s">
        <v>1712</v>
      </c>
      <c r="C845" t="s">
        <v>12</v>
      </c>
      <c r="D845" t="s">
        <v>18</v>
      </c>
      <c r="E845" s="1">
        <v>44853</v>
      </c>
      <c r="F845" t="s">
        <v>39</v>
      </c>
      <c r="G845">
        <v>7435</v>
      </c>
      <c r="H845">
        <v>5879</v>
      </c>
      <c r="I845">
        <v>3.57</v>
      </c>
      <c r="J845">
        <v>17</v>
      </c>
      <c r="M845" t="str">
        <f t="shared" ca="1" si="52"/>
        <v/>
      </c>
      <c r="N845" s="3" t="str" cm="1">
        <f t="array" ref="N845">_xlfn.IFS(I845&gt;=3.5,"Excellent",I845&gt;=3,"Good",I845&gt;=2,"Average",I845&lt;2,"Poor")</f>
        <v>Excellent</v>
      </c>
      <c r="P845" t="str">
        <f t="shared" si="53"/>
        <v>True</v>
      </c>
      <c r="Q845">
        <f t="shared" si="54"/>
        <v>237649</v>
      </c>
      <c r="R845">
        <v>2022</v>
      </c>
      <c r="X845" t="str">
        <f t="shared" ca="1" si="55"/>
        <v/>
      </c>
    </row>
    <row r="846" spans="1:24" x14ac:dyDescent="0.25">
      <c r="A846" t="s">
        <v>1713</v>
      </c>
      <c r="B846" t="s">
        <v>1714</v>
      </c>
      <c r="C846" t="s">
        <v>36</v>
      </c>
      <c r="D846" t="s">
        <v>13</v>
      </c>
      <c r="E846" s="1">
        <v>45394</v>
      </c>
      <c r="F846" t="s">
        <v>14</v>
      </c>
      <c r="G846">
        <v>14977</v>
      </c>
      <c r="H846">
        <v>374</v>
      </c>
      <c r="I846">
        <v>2.36</v>
      </c>
      <c r="J846">
        <v>60</v>
      </c>
      <c r="M846">
        <f t="shared" ca="1" si="52"/>
        <v>455</v>
      </c>
      <c r="N846" s="3" t="str" cm="1">
        <f t="array" ref="N846">_xlfn.IFS(I846&gt;=3.5,"Excellent",I846&gt;=3,"Good",I846&gt;=2,"Average",I846&lt;2,"Poor")</f>
        <v>Average</v>
      </c>
      <c r="P846" t="str">
        <f t="shared" si="53"/>
        <v/>
      </c>
      <c r="Q846">
        <f t="shared" si="54"/>
        <v>237649</v>
      </c>
      <c r="R846">
        <v>2024</v>
      </c>
      <c r="X846" t="str">
        <f t="shared" ca="1" si="55"/>
        <v/>
      </c>
    </row>
    <row r="847" spans="1:24" x14ac:dyDescent="0.25">
      <c r="A847" t="s">
        <v>1715</v>
      </c>
      <c r="B847" t="s">
        <v>1716</v>
      </c>
      <c r="C847" t="s">
        <v>17</v>
      </c>
      <c r="D847" t="s">
        <v>62</v>
      </c>
      <c r="E847" s="1">
        <v>45092</v>
      </c>
      <c r="F847" t="s">
        <v>14</v>
      </c>
      <c r="G847">
        <v>14578</v>
      </c>
      <c r="H847">
        <v>8597</v>
      </c>
      <c r="I847">
        <v>3.36</v>
      </c>
      <c r="J847">
        <v>34</v>
      </c>
      <c r="M847">
        <f t="shared" ca="1" si="52"/>
        <v>757</v>
      </c>
      <c r="N847" s="3" t="str" cm="1">
        <f t="array" ref="N847">_xlfn.IFS(I847&gt;=3.5,"Excellent",I847&gt;=3,"Good",I847&gt;=2,"Average",I847&lt;2,"Poor")</f>
        <v>Good</v>
      </c>
      <c r="P847" t="str">
        <f t="shared" si="53"/>
        <v>True</v>
      </c>
      <c r="Q847">
        <f t="shared" si="54"/>
        <v>237649</v>
      </c>
      <c r="R847">
        <v>2023</v>
      </c>
      <c r="X847" t="str">
        <f t="shared" ca="1" si="55"/>
        <v/>
      </c>
    </row>
    <row r="848" spans="1:24" x14ac:dyDescent="0.25">
      <c r="A848" t="s">
        <v>1717</v>
      </c>
      <c r="B848" t="s">
        <v>1718</v>
      </c>
      <c r="C848" t="s">
        <v>54</v>
      </c>
      <c r="D848" t="s">
        <v>31</v>
      </c>
      <c r="E848" s="1">
        <v>44612</v>
      </c>
      <c r="F848" t="s">
        <v>19</v>
      </c>
      <c r="G848">
        <v>2664</v>
      </c>
      <c r="H848">
        <v>8878</v>
      </c>
      <c r="I848">
        <v>2.5099999999999998</v>
      </c>
      <c r="J848">
        <v>77</v>
      </c>
      <c r="M848" t="str">
        <f t="shared" ca="1" si="52"/>
        <v/>
      </c>
      <c r="N848" s="3" t="str" cm="1">
        <f t="array" ref="N848">_xlfn.IFS(I848&gt;=3.5,"Excellent",I848&gt;=3,"Good",I848&gt;=2,"Average",I848&lt;2,"Poor")</f>
        <v>Average</v>
      </c>
      <c r="P848" t="str">
        <f t="shared" si="53"/>
        <v>True</v>
      </c>
      <c r="Q848">
        <f t="shared" si="54"/>
        <v>237649</v>
      </c>
      <c r="R848">
        <v>2022</v>
      </c>
      <c r="X848">
        <f t="shared" ca="1" si="55"/>
        <v>1237</v>
      </c>
    </row>
    <row r="849" spans="1:24" x14ac:dyDescent="0.25">
      <c r="A849" t="s">
        <v>1719</v>
      </c>
      <c r="B849" t="s">
        <v>1720</v>
      </c>
      <c r="C849" t="s">
        <v>22</v>
      </c>
      <c r="D849" t="s">
        <v>18</v>
      </c>
      <c r="E849" s="1">
        <v>44792</v>
      </c>
      <c r="F849" t="s">
        <v>14</v>
      </c>
      <c r="G849">
        <v>11301</v>
      </c>
      <c r="H849">
        <v>5420</v>
      </c>
      <c r="I849">
        <v>3.56</v>
      </c>
      <c r="J849">
        <v>96</v>
      </c>
      <c r="M849">
        <f t="shared" ca="1" si="52"/>
        <v>1057</v>
      </c>
      <c r="N849" s="3" t="str" cm="1">
        <f t="array" ref="N849">_xlfn.IFS(I849&gt;=3.5,"Excellent",I849&gt;=3,"Good",I849&gt;=2,"Average",I849&lt;2,"Poor")</f>
        <v>Excellent</v>
      </c>
      <c r="P849" t="str">
        <f t="shared" si="53"/>
        <v/>
      </c>
      <c r="Q849">
        <f t="shared" si="54"/>
        <v>237649</v>
      </c>
      <c r="R849">
        <v>2022</v>
      </c>
      <c r="X849" t="str">
        <f t="shared" ca="1" si="55"/>
        <v/>
      </c>
    </row>
    <row r="850" spans="1:24" x14ac:dyDescent="0.25">
      <c r="A850" t="s">
        <v>1721</v>
      </c>
      <c r="B850" t="s">
        <v>1722</v>
      </c>
      <c r="C850" t="s">
        <v>22</v>
      </c>
      <c r="D850" t="s">
        <v>31</v>
      </c>
      <c r="E850" s="1">
        <v>45173</v>
      </c>
      <c r="F850" t="s">
        <v>19</v>
      </c>
      <c r="G850">
        <v>4379</v>
      </c>
      <c r="H850">
        <v>9901</v>
      </c>
      <c r="I850">
        <v>2.65</v>
      </c>
      <c r="J850">
        <v>39</v>
      </c>
      <c r="M850" t="str">
        <f t="shared" ca="1" si="52"/>
        <v/>
      </c>
      <c r="N850" s="3" t="str" cm="1">
        <f t="array" ref="N850">_xlfn.IFS(I850&gt;=3.5,"Excellent",I850&gt;=3,"Good",I850&gt;=2,"Average",I850&lt;2,"Poor")</f>
        <v>Average</v>
      </c>
      <c r="P850" t="str">
        <f t="shared" si="53"/>
        <v>True</v>
      </c>
      <c r="Q850">
        <f t="shared" si="54"/>
        <v>237649</v>
      </c>
      <c r="R850">
        <v>2023</v>
      </c>
      <c r="X850">
        <f t="shared" ca="1" si="55"/>
        <v>676</v>
      </c>
    </row>
    <row r="851" spans="1:24" x14ac:dyDescent="0.25">
      <c r="A851" t="s">
        <v>1723</v>
      </c>
      <c r="B851" t="s">
        <v>1724</v>
      </c>
      <c r="C851" t="s">
        <v>28</v>
      </c>
      <c r="D851" t="s">
        <v>62</v>
      </c>
      <c r="E851" s="1">
        <v>44767</v>
      </c>
      <c r="F851" t="s">
        <v>14</v>
      </c>
      <c r="G851">
        <v>13197</v>
      </c>
      <c r="H851">
        <v>2495</v>
      </c>
      <c r="I851">
        <v>2.7</v>
      </c>
      <c r="J851">
        <v>26</v>
      </c>
      <c r="M851">
        <f t="shared" ca="1" si="52"/>
        <v>1082</v>
      </c>
      <c r="N851" s="3" t="str" cm="1">
        <f t="array" ref="N851">_xlfn.IFS(I851&gt;=3.5,"Excellent",I851&gt;=3,"Good",I851&gt;=2,"Average",I851&lt;2,"Poor")</f>
        <v>Average</v>
      </c>
      <c r="P851" t="str">
        <f t="shared" si="53"/>
        <v/>
      </c>
      <c r="Q851">
        <f t="shared" si="54"/>
        <v>237649</v>
      </c>
      <c r="R851">
        <v>2022</v>
      </c>
      <c r="X851" t="str">
        <f t="shared" ca="1" si="55"/>
        <v/>
      </c>
    </row>
    <row r="852" spans="1:24" x14ac:dyDescent="0.25">
      <c r="A852" t="s">
        <v>1725</v>
      </c>
      <c r="B852" t="s">
        <v>1726</v>
      </c>
      <c r="C852" t="s">
        <v>57</v>
      </c>
      <c r="D852" t="s">
        <v>18</v>
      </c>
      <c r="E852" s="1">
        <v>45208</v>
      </c>
      <c r="F852" t="s">
        <v>19</v>
      </c>
      <c r="G852">
        <v>14472</v>
      </c>
      <c r="H852">
        <v>8730</v>
      </c>
      <c r="I852">
        <v>3.43</v>
      </c>
      <c r="J852">
        <v>18</v>
      </c>
      <c r="M852" t="str">
        <f t="shared" ca="1" si="52"/>
        <v/>
      </c>
      <c r="N852" s="3" t="str" cm="1">
        <f t="array" ref="N852">_xlfn.IFS(I852&gt;=3.5,"Excellent",I852&gt;=3,"Good",I852&gt;=2,"Average",I852&lt;2,"Poor")</f>
        <v>Good</v>
      </c>
      <c r="P852" t="str">
        <f t="shared" si="53"/>
        <v>True</v>
      </c>
      <c r="Q852">
        <f t="shared" si="54"/>
        <v>237649</v>
      </c>
      <c r="R852">
        <v>2023</v>
      </c>
      <c r="X852">
        <f t="shared" ca="1" si="55"/>
        <v>641</v>
      </c>
    </row>
    <row r="853" spans="1:24" x14ac:dyDescent="0.25">
      <c r="A853" t="s">
        <v>1727</v>
      </c>
      <c r="B853" t="s">
        <v>1728</v>
      </c>
      <c r="C853" t="s">
        <v>22</v>
      </c>
      <c r="D853" t="s">
        <v>62</v>
      </c>
      <c r="E853" s="1">
        <v>45408</v>
      </c>
      <c r="F853" t="s">
        <v>19</v>
      </c>
      <c r="G853">
        <v>6807</v>
      </c>
      <c r="H853">
        <v>8983</v>
      </c>
      <c r="I853">
        <v>2.98</v>
      </c>
      <c r="J853">
        <v>47</v>
      </c>
      <c r="M853" t="str">
        <f t="shared" ca="1" si="52"/>
        <v/>
      </c>
      <c r="N853" s="3" t="str" cm="1">
        <f t="array" ref="N853">_xlfn.IFS(I853&gt;=3.5,"Excellent",I853&gt;=3,"Good",I853&gt;=2,"Average",I853&lt;2,"Poor")</f>
        <v>Average</v>
      </c>
      <c r="P853" t="str">
        <f t="shared" si="53"/>
        <v>True</v>
      </c>
      <c r="Q853">
        <f t="shared" si="54"/>
        <v>223177</v>
      </c>
      <c r="R853">
        <v>2024</v>
      </c>
      <c r="X853">
        <f t="shared" ca="1" si="55"/>
        <v>441</v>
      </c>
    </row>
    <row r="854" spans="1:24" x14ac:dyDescent="0.25">
      <c r="A854" t="s">
        <v>1729</v>
      </c>
      <c r="B854" t="s">
        <v>1730</v>
      </c>
      <c r="C854" t="s">
        <v>25</v>
      </c>
      <c r="D854" t="s">
        <v>18</v>
      </c>
      <c r="E854" s="1">
        <v>44640</v>
      </c>
      <c r="F854" t="s">
        <v>14</v>
      </c>
      <c r="G854">
        <v>5918</v>
      </c>
      <c r="H854">
        <v>3347</v>
      </c>
      <c r="I854">
        <v>2.04</v>
      </c>
      <c r="J854">
        <v>105</v>
      </c>
      <c r="M854">
        <f t="shared" ca="1" si="52"/>
        <v>1209</v>
      </c>
      <c r="N854" s="3" t="str" cm="1">
        <f t="array" ref="N854">_xlfn.IFS(I854&gt;=3.5,"Excellent",I854&gt;=3,"Good",I854&gt;=2,"Average",I854&lt;2,"Poor")</f>
        <v>Average</v>
      </c>
      <c r="P854" t="str">
        <f t="shared" si="53"/>
        <v>True</v>
      </c>
      <c r="Q854">
        <f t="shared" si="54"/>
        <v>223177</v>
      </c>
      <c r="R854">
        <v>2022</v>
      </c>
      <c r="X854" t="str">
        <f t="shared" ca="1" si="55"/>
        <v/>
      </c>
    </row>
    <row r="855" spans="1:24" x14ac:dyDescent="0.25">
      <c r="A855" t="s">
        <v>1731</v>
      </c>
      <c r="B855" t="s">
        <v>1732</v>
      </c>
      <c r="C855" t="s">
        <v>17</v>
      </c>
      <c r="D855" t="s">
        <v>31</v>
      </c>
      <c r="E855" s="1">
        <v>45210</v>
      </c>
      <c r="F855" t="s">
        <v>19</v>
      </c>
      <c r="G855">
        <v>6149</v>
      </c>
      <c r="H855">
        <v>4635</v>
      </c>
      <c r="I855">
        <v>2.63</v>
      </c>
      <c r="J855">
        <v>118</v>
      </c>
      <c r="M855" t="str">
        <f t="shared" ca="1" si="52"/>
        <v/>
      </c>
      <c r="N855" s="3" t="str" cm="1">
        <f t="array" ref="N855">_xlfn.IFS(I855&gt;=3.5,"Excellent",I855&gt;=3,"Good",I855&gt;=2,"Average",I855&lt;2,"Poor")</f>
        <v>Average</v>
      </c>
      <c r="P855" t="str">
        <f t="shared" si="53"/>
        <v>True</v>
      </c>
      <c r="Q855">
        <f t="shared" si="54"/>
        <v>223177</v>
      </c>
      <c r="R855">
        <v>2023</v>
      </c>
      <c r="X855">
        <f t="shared" ca="1" si="55"/>
        <v>639</v>
      </c>
    </row>
    <row r="856" spans="1:24" x14ac:dyDescent="0.25">
      <c r="A856" t="s">
        <v>1733</v>
      </c>
      <c r="B856" t="s">
        <v>1734</v>
      </c>
      <c r="C856" t="s">
        <v>54</v>
      </c>
      <c r="D856" t="s">
        <v>62</v>
      </c>
      <c r="E856" s="1">
        <v>45352</v>
      </c>
      <c r="F856" t="s">
        <v>14</v>
      </c>
      <c r="G856">
        <v>8365</v>
      </c>
      <c r="H856">
        <v>3533</v>
      </c>
      <c r="I856">
        <v>3.17</v>
      </c>
      <c r="J856">
        <v>15</v>
      </c>
      <c r="M856">
        <f t="shared" ca="1" si="52"/>
        <v>497</v>
      </c>
      <c r="N856" s="3" t="str" cm="1">
        <f t="array" ref="N856">_xlfn.IFS(I856&gt;=3.5,"Excellent",I856&gt;=3,"Good",I856&gt;=2,"Average",I856&lt;2,"Poor")</f>
        <v>Good</v>
      </c>
      <c r="P856" t="str">
        <f t="shared" si="53"/>
        <v/>
      </c>
      <c r="Q856">
        <f t="shared" si="54"/>
        <v>223177</v>
      </c>
      <c r="R856">
        <v>2024</v>
      </c>
      <c r="X856" t="str">
        <f t="shared" ca="1" si="55"/>
        <v/>
      </c>
    </row>
    <row r="857" spans="1:24" x14ac:dyDescent="0.25">
      <c r="A857" t="s">
        <v>1735</v>
      </c>
      <c r="B857" t="s">
        <v>1736</v>
      </c>
      <c r="C857" t="s">
        <v>12</v>
      </c>
      <c r="D857" t="s">
        <v>18</v>
      </c>
      <c r="E857" s="1">
        <v>45134</v>
      </c>
      <c r="F857" t="s">
        <v>14</v>
      </c>
      <c r="G857">
        <v>9612</v>
      </c>
      <c r="H857">
        <v>1018</v>
      </c>
      <c r="I857">
        <v>3.25</v>
      </c>
      <c r="J857">
        <v>88</v>
      </c>
      <c r="M857">
        <f t="shared" ca="1" si="52"/>
        <v>715</v>
      </c>
      <c r="N857" s="3" t="str" cm="1">
        <f t="array" ref="N857">_xlfn.IFS(I857&gt;=3.5,"Excellent",I857&gt;=3,"Good",I857&gt;=2,"Average",I857&lt;2,"Poor")</f>
        <v>Good</v>
      </c>
      <c r="P857" t="str">
        <f t="shared" si="53"/>
        <v/>
      </c>
      <c r="Q857">
        <f t="shared" si="54"/>
        <v>223177</v>
      </c>
      <c r="R857">
        <v>2023</v>
      </c>
      <c r="X857" t="str">
        <f t="shared" ca="1" si="55"/>
        <v/>
      </c>
    </row>
    <row r="858" spans="1:24" x14ac:dyDescent="0.25">
      <c r="A858" t="s">
        <v>1737</v>
      </c>
      <c r="B858" t="s">
        <v>1738</v>
      </c>
      <c r="C858" t="s">
        <v>22</v>
      </c>
      <c r="D858" t="s">
        <v>18</v>
      </c>
      <c r="E858" s="1">
        <v>45045</v>
      </c>
      <c r="F858" t="s">
        <v>14</v>
      </c>
      <c r="G858">
        <v>10449</v>
      </c>
      <c r="H858">
        <v>7</v>
      </c>
      <c r="I858">
        <v>2.98</v>
      </c>
      <c r="J858">
        <v>54</v>
      </c>
      <c r="M858">
        <f t="shared" ca="1" si="52"/>
        <v>804</v>
      </c>
      <c r="N858" s="3" t="str" cm="1">
        <f t="array" ref="N858">_xlfn.IFS(I858&gt;=3.5,"Excellent",I858&gt;=3,"Good",I858&gt;=2,"Average",I858&lt;2,"Poor")</f>
        <v>Average</v>
      </c>
      <c r="P858" t="str">
        <f t="shared" si="53"/>
        <v/>
      </c>
      <c r="Q858">
        <f t="shared" si="54"/>
        <v>223177</v>
      </c>
      <c r="R858">
        <v>2023</v>
      </c>
      <c r="X858" t="str">
        <f t="shared" ca="1" si="55"/>
        <v/>
      </c>
    </row>
    <row r="859" spans="1:24" x14ac:dyDescent="0.25">
      <c r="A859" t="s">
        <v>1739</v>
      </c>
      <c r="B859" t="s">
        <v>1740</v>
      </c>
      <c r="C859" t="s">
        <v>12</v>
      </c>
      <c r="D859" t="s">
        <v>13</v>
      </c>
      <c r="E859" s="1">
        <v>44764</v>
      </c>
      <c r="F859" t="s">
        <v>19</v>
      </c>
      <c r="G859">
        <v>7352</v>
      </c>
      <c r="H859">
        <v>3682</v>
      </c>
      <c r="I859">
        <v>3.34</v>
      </c>
      <c r="J859">
        <v>100</v>
      </c>
      <c r="M859" t="str">
        <f t="shared" ca="1" si="52"/>
        <v/>
      </c>
      <c r="N859" s="3" t="str" cm="1">
        <f t="array" ref="N859">_xlfn.IFS(I859&gt;=3.5,"Excellent",I859&gt;=3,"Good",I859&gt;=2,"Average",I859&lt;2,"Poor")</f>
        <v>Good</v>
      </c>
      <c r="P859" t="str">
        <f t="shared" si="53"/>
        <v>True</v>
      </c>
      <c r="Q859">
        <f t="shared" si="54"/>
        <v>223177</v>
      </c>
      <c r="R859">
        <v>2022</v>
      </c>
      <c r="X859">
        <f t="shared" ca="1" si="55"/>
        <v>1085</v>
      </c>
    </row>
    <row r="860" spans="1:24" x14ac:dyDescent="0.25">
      <c r="A860" t="s">
        <v>1741</v>
      </c>
      <c r="B860" t="s">
        <v>1742</v>
      </c>
      <c r="C860" t="s">
        <v>28</v>
      </c>
      <c r="D860" t="s">
        <v>13</v>
      </c>
      <c r="E860" s="1">
        <v>45250</v>
      </c>
      <c r="F860" t="s">
        <v>14</v>
      </c>
      <c r="G860">
        <v>2312</v>
      </c>
      <c r="H860">
        <v>6130</v>
      </c>
      <c r="I860">
        <v>2.66</v>
      </c>
      <c r="J860">
        <v>54</v>
      </c>
      <c r="M860">
        <f t="shared" ca="1" si="52"/>
        <v>599</v>
      </c>
      <c r="N860" s="3" t="str" cm="1">
        <f t="array" ref="N860">_xlfn.IFS(I860&gt;=3.5,"Excellent",I860&gt;=3,"Good",I860&gt;=2,"Average",I860&lt;2,"Poor")</f>
        <v>Average</v>
      </c>
      <c r="P860" t="str">
        <f t="shared" si="53"/>
        <v>True</v>
      </c>
      <c r="Q860">
        <f t="shared" si="54"/>
        <v>223177</v>
      </c>
      <c r="R860">
        <v>2023</v>
      </c>
      <c r="X860" t="str">
        <f t="shared" ca="1" si="55"/>
        <v/>
      </c>
    </row>
    <row r="861" spans="1:24" x14ac:dyDescent="0.25">
      <c r="A861" t="s">
        <v>1743</v>
      </c>
      <c r="B861" t="s">
        <v>1744</v>
      </c>
      <c r="C861" t="s">
        <v>57</v>
      </c>
      <c r="D861" t="s">
        <v>62</v>
      </c>
      <c r="E861" s="1">
        <v>44774</v>
      </c>
      <c r="F861" t="s">
        <v>14</v>
      </c>
      <c r="G861">
        <v>12046</v>
      </c>
      <c r="H861">
        <v>1594</v>
      </c>
      <c r="I861">
        <v>2.35</v>
      </c>
      <c r="J861">
        <v>31</v>
      </c>
      <c r="M861">
        <f t="shared" ca="1" si="52"/>
        <v>1075</v>
      </c>
      <c r="N861" s="3" t="str" cm="1">
        <f t="array" ref="N861">_xlfn.IFS(I861&gt;=3.5,"Excellent",I861&gt;=3,"Good",I861&gt;=2,"Average",I861&lt;2,"Poor")</f>
        <v>Average</v>
      </c>
      <c r="P861" t="str">
        <f t="shared" si="53"/>
        <v/>
      </c>
      <c r="Q861">
        <f t="shared" si="54"/>
        <v>223177</v>
      </c>
      <c r="R861">
        <v>2022</v>
      </c>
      <c r="X861" t="str">
        <f t="shared" ca="1" si="55"/>
        <v/>
      </c>
    </row>
    <row r="862" spans="1:24" x14ac:dyDescent="0.25">
      <c r="A862" t="s">
        <v>1745</v>
      </c>
      <c r="B862" t="s">
        <v>1746</v>
      </c>
      <c r="C862" t="s">
        <v>17</v>
      </c>
      <c r="D862" t="s">
        <v>31</v>
      </c>
      <c r="E862" s="1">
        <v>45097</v>
      </c>
      <c r="F862" t="s">
        <v>14</v>
      </c>
      <c r="G862">
        <v>6750</v>
      </c>
      <c r="H862">
        <v>6005</v>
      </c>
      <c r="I862">
        <v>2.2799999999999998</v>
      </c>
      <c r="J862">
        <v>114</v>
      </c>
      <c r="M862">
        <f t="shared" ca="1" si="52"/>
        <v>752</v>
      </c>
      <c r="N862" s="3" t="str" cm="1">
        <f t="array" ref="N862">_xlfn.IFS(I862&gt;=3.5,"Excellent",I862&gt;=3,"Good",I862&gt;=2,"Average",I862&lt;2,"Poor")</f>
        <v>Average</v>
      </c>
      <c r="P862" t="str">
        <f t="shared" si="53"/>
        <v>True</v>
      </c>
      <c r="Q862">
        <f t="shared" si="54"/>
        <v>223177</v>
      </c>
      <c r="R862">
        <v>2023</v>
      </c>
      <c r="X862" t="str">
        <f t="shared" ca="1" si="55"/>
        <v/>
      </c>
    </row>
    <row r="863" spans="1:24" x14ac:dyDescent="0.25">
      <c r="A863" t="s">
        <v>1747</v>
      </c>
      <c r="B863" t="s">
        <v>1748</v>
      </c>
      <c r="C863" t="s">
        <v>36</v>
      </c>
      <c r="D863" t="s">
        <v>62</v>
      </c>
      <c r="E863" s="1">
        <v>45166</v>
      </c>
      <c r="F863" t="s">
        <v>14</v>
      </c>
      <c r="G863">
        <v>4842</v>
      </c>
      <c r="H863">
        <v>7238</v>
      </c>
      <c r="I863">
        <v>2.0299999999999998</v>
      </c>
      <c r="J863">
        <v>46</v>
      </c>
      <c r="M863">
        <f t="shared" ca="1" si="52"/>
        <v>683</v>
      </c>
      <c r="N863" s="3" t="str" cm="1">
        <f t="array" ref="N863">_xlfn.IFS(I863&gt;=3.5,"Excellent",I863&gt;=3,"Good",I863&gt;=2,"Average",I863&lt;2,"Poor")</f>
        <v>Average</v>
      </c>
      <c r="P863" t="str">
        <f t="shared" si="53"/>
        <v>True</v>
      </c>
      <c r="Q863">
        <f t="shared" si="54"/>
        <v>223177</v>
      </c>
      <c r="R863">
        <v>2023</v>
      </c>
      <c r="X863" t="str">
        <f t="shared" ca="1" si="55"/>
        <v/>
      </c>
    </row>
    <row r="864" spans="1:24" x14ac:dyDescent="0.25">
      <c r="A864" t="s">
        <v>1749</v>
      </c>
      <c r="B864" t="s">
        <v>1750</v>
      </c>
      <c r="C864" t="s">
        <v>57</v>
      </c>
      <c r="D864" t="s">
        <v>18</v>
      </c>
      <c r="E864" s="1">
        <v>44647</v>
      </c>
      <c r="F864" t="s">
        <v>14</v>
      </c>
      <c r="G864">
        <v>7267</v>
      </c>
      <c r="H864">
        <v>7428</v>
      </c>
      <c r="I864">
        <v>3.25</v>
      </c>
      <c r="J864">
        <v>115</v>
      </c>
      <c r="M864">
        <f t="shared" ca="1" si="52"/>
        <v>1202</v>
      </c>
      <c r="N864" s="3" t="str" cm="1">
        <f t="array" ref="N864">_xlfn.IFS(I864&gt;=3.5,"Excellent",I864&gt;=3,"Good",I864&gt;=2,"Average",I864&lt;2,"Poor")</f>
        <v>Good</v>
      </c>
      <c r="P864" t="str">
        <f t="shared" si="53"/>
        <v>True</v>
      </c>
      <c r="Q864">
        <f t="shared" si="54"/>
        <v>223177</v>
      </c>
      <c r="R864">
        <v>2022</v>
      </c>
      <c r="X864" t="str">
        <f t="shared" ca="1" si="55"/>
        <v/>
      </c>
    </row>
    <row r="865" spans="1:24" x14ac:dyDescent="0.25">
      <c r="A865" t="s">
        <v>1751</v>
      </c>
      <c r="B865" t="s">
        <v>1752</v>
      </c>
      <c r="C865" t="s">
        <v>22</v>
      </c>
      <c r="D865" t="s">
        <v>18</v>
      </c>
      <c r="E865" s="1">
        <v>44921</v>
      </c>
      <c r="F865" t="s">
        <v>14</v>
      </c>
      <c r="G865">
        <v>8934</v>
      </c>
      <c r="H865">
        <v>7479</v>
      </c>
      <c r="I865">
        <v>2.29</v>
      </c>
      <c r="J865">
        <v>39</v>
      </c>
      <c r="M865">
        <f t="shared" ca="1" si="52"/>
        <v>928</v>
      </c>
      <c r="N865" s="3" t="str" cm="1">
        <f t="array" ref="N865">_xlfn.IFS(I865&gt;=3.5,"Excellent",I865&gt;=3,"Good",I865&gt;=2,"Average",I865&lt;2,"Poor")</f>
        <v>Average</v>
      </c>
      <c r="P865" t="str">
        <f t="shared" si="53"/>
        <v>True</v>
      </c>
      <c r="Q865">
        <f t="shared" si="54"/>
        <v>223177</v>
      </c>
      <c r="R865">
        <v>2022</v>
      </c>
      <c r="X865" t="str">
        <f t="shared" ca="1" si="55"/>
        <v/>
      </c>
    </row>
    <row r="866" spans="1:24" x14ac:dyDescent="0.25">
      <c r="A866" t="s">
        <v>1753</v>
      </c>
      <c r="B866" t="s">
        <v>1754</v>
      </c>
      <c r="C866" t="s">
        <v>54</v>
      </c>
      <c r="D866" t="s">
        <v>62</v>
      </c>
      <c r="E866" s="1">
        <v>44611</v>
      </c>
      <c r="F866" t="s">
        <v>39</v>
      </c>
      <c r="G866">
        <v>10532</v>
      </c>
      <c r="H866">
        <v>6202</v>
      </c>
      <c r="I866">
        <v>2.93</v>
      </c>
      <c r="J866">
        <v>109</v>
      </c>
      <c r="M866" t="str">
        <f t="shared" ca="1" si="52"/>
        <v/>
      </c>
      <c r="N866" s="3" t="str" cm="1">
        <f t="array" ref="N866">_xlfn.IFS(I866&gt;=3.5,"Excellent",I866&gt;=3,"Good",I866&gt;=2,"Average",I866&lt;2,"Poor")</f>
        <v>Average</v>
      </c>
      <c r="P866" t="str">
        <f t="shared" si="53"/>
        <v>True</v>
      </c>
      <c r="Q866">
        <f t="shared" si="54"/>
        <v>223177</v>
      </c>
      <c r="R866">
        <v>2022</v>
      </c>
      <c r="X866" t="str">
        <f t="shared" ca="1" si="55"/>
        <v/>
      </c>
    </row>
    <row r="867" spans="1:24" x14ac:dyDescent="0.25">
      <c r="A867" t="s">
        <v>1755</v>
      </c>
      <c r="B867" t="s">
        <v>1756</v>
      </c>
      <c r="C867" t="s">
        <v>28</v>
      </c>
      <c r="D867" t="s">
        <v>18</v>
      </c>
      <c r="E867" s="1">
        <v>45215</v>
      </c>
      <c r="F867" t="s">
        <v>19</v>
      </c>
      <c r="G867">
        <v>2177</v>
      </c>
      <c r="H867">
        <v>9305</v>
      </c>
      <c r="I867">
        <v>2.5099999999999998</v>
      </c>
      <c r="J867">
        <v>50</v>
      </c>
      <c r="M867" t="str">
        <f t="shared" ca="1" si="52"/>
        <v/>
      </c>
      <c r="N867" s="3" t="str" cm="1">
        <f t="array" ref="N867">_xlfn.IFS(I867&gt;=3.5,"Excellent",I867&gt;=3,"Good",I867&gt;=2,"Average",I867&lt;2,"Poor")</f>
        <v>Average</v>
      </c>
      <c r="P867" t="str">
        <f t="shared" si="53"/>
        <v>True</v>
      </c>
      <c r="Q867">
        <f t="shared" si="54"/>
        <v>223177</v>
      </c>
      <c r="R867">
        <v>2023</v>
      </c>
      <c r="X867">
        <f t="shared" ca="1" si="55"/>
        <v>634</v>
      </c>
    </row>
    <row r="868" spans="1:24" x14ac:dyDescent="0.25">
      <c r="A868" t="s">
        <v>1757</v>
      </c>
      <c r="B868" t="s">
        <v>1758</v>
      </c>
      <c r="C868" t="s">
        <v>57</v>
      </c>
      <c r="D868" t="s">
        <v>31</v>
      </c>
      <c r="E868" s="1">
        <v>44999</v>
      </c>
      <c r="F868" t="s">
        <v>14</v>
      </c>
      <c r="G868">
        <v>8971</v>
      </c>
      <c r="H868">
        <v>8015</v>
      </c>
      <c r="I868">
        <v>3.05</v>
      </c>
      <c r="J868">
        <v>106</v>
      </c>
      <c r="M868">
        <f t="shared" ca="1" si="52"/>
        <v>850</v>
      </c>
      <c r="N868" s="3" t="str" cm="1">
        <f t="array" ref="N868">_xlfn.IFS(I868&gt;=3.5,"Excellent",I868&gt;=3,"Good",I868&gt;=2,"Average",I868&lt;2,"Poor")</f>
        <v>Good</v>
      </c>
      <c r="P868" t="str">
        <f t="shared" si="53"/>
        <v>True</v>
      </c>
      <c r="Q868">
        <f t="shared" si="54"/>
        <v>221000</v>
      </c>
      <c r="R868">
        <v>2023</v>
      </c>
      <c r="X868" t="str">
        <f t="shared" ca="1" si="55"/>
        <v/>
      </c>
    </row>
    <row r="869" spans="1:24" x14ac:dyDescent="0.25">
      <c r="A869" t="s">
        <v>1759</v>
      </c>
      <c r="B869" t="s">
        <v>1760</v>
      </c>
      <c r="C869" t="s">
        <v>22</v>
      </c>
      <c r="D869" t="s">
        <v>31</v>
      </c>
      <c r="E869" s="1">
        <v>44745</v>
      </c>
      <c r="F869" t="s">
        <v>39</v>
      </c>
      <c r="G869">
        <v>13897</v>
      </c>
      <c r="H869">
        <v>7593</v>
      </c>
      <c r="I869">
        <v>3.25</v>
      </c>
      <c r="J869">
        <v>63</v>
      </c>
      <c r="M869" t="str">
        <f t="shared" ca="1" si="52"/>
        <v/>
      </c>
      <c r="N869" s="3" t="str" cm="1">
        <f t="array" ref="N869">_xlfn.IFS(I869&gt;=3.5,"Excellent",I869&gt;=3,"Good",I869&gt;=2,"Average",I869&lt;2,"Poor")</f>
        <v>Good</v>
      </c>
      <c r="P869" t="str">
        <f t="shared" si="53"/>
        <v>True</v>
      </c>
      <c r="Q869">
        <f t="shared" si="54"/>
        <v>221000</v>
      </c>
      <c r="R869">
        <v>2022</v>
      </c>
      <c r="X869" t="str">
        <f t="shared" ca="1" si="55"/>
        <v/>
      </c>
    </row>
    <row r="870" spans="1:24" x14ac:dyDescent="0.25">
      <c r="A870" t="s">
        <v>1761</v>
      </c>
      <c r="B870" t="s">
        <v>1762</v>
      </c>
      <c r="C870" t="s">
        <v>28</v>
      </c>
      <c r="D870" t="s">
        <v>13</v>
      </c>
      <c r="E870" s="1">
        <v>44776</v>
      </c>
      <c r="F870" t="s">
        <v>14</v>
      </c>
      <c r="G870">
        <v>5508</v>
      </c>
      <c r="H870">
        <v>7751</v>
      </c>
      <c r="I870">
        <v>2.0099999999999998</v>
      </c>
      <c r="J870">
        <v>17</v>
      </c>
      <c r="M870">
        <f t="shared" ca="1" si="52"/>
        <v>1073</v>
      </c>
      <c r="N870" s="3" t="str" cm="1">
        <f t="array" ref="N870">_xlfn.IFS(I870&gt;=3.5,"Excellent",I870&gt;=3,"Good",I870&gt;=2,"Average",I870&lt;2,"Poor")</f>
        <v>Average</v>
      </c>
      <c r="P870" t="str">
        <f t="shared" si="53"/>
        <v>True</v>
      </c>
      <c r="Q870">
        <f t="shared" si="54"/>
        <v>221000</v>
      </c>
      <c r="R870">
        <v>2022</v>
      </c>
      <c r="X870" t="str">
        <f t="shared" ca="1" si="55"/>
        <v/>
      </c>
    </row>
    <row r="871" spans="1:24" x14ac:dyDescent="0.25">
      <c r="A871" t="s">
        <v>1763</v>
      </c>
      <c r="B871" t="s">
        <v>1764</v>
      </c>
      <c r="C871" t="s">
        <v>25</v>
      </c>
      <c r="D871" t="s">
        <v>13</v>
      </c>
      <c r="E871" s="1">
        <v>45251</v>
      </c>
      <c r="F871" t="s">
        <v>14</v>
      </c>
      <c r="G871">
        <v>12065</v>
      </c>
      <c r="H871">
        <v>2882</v>
      </c>
      <c r="I871">
        <v>2.35</v>
      </c>
      <c r="J871">
        <v>93</v>
      </c>
      <c r="M871">
        <f t="shared" ca="1" si="52"/>
        <v>598</v>
      </c>
      <c r="N871" s="3" t="str" cm="1">
        <f t="array" ref="N871">_xlfn.IFS(I871&gt;=3.5,"Excellent",I871&gt;=3,"Good",I871&gt;=2,"Average",I871&lt;2,"Poor")</f>
        <v>Average</v>
      </c>
      <c r="P871" t="str">
        <f t="shared" si="53"/>
        <v/>
      </c>
      <c r="Q871">
        <f t="shared" si="54"/>
        <v>221000</v>
      </c>
      <c r="R871">
        <v>2023</v>
      </c>
      <c r="X871" t="str">
        <f t="shared" ca="1" si="55"/>
        <v/>
      </c>
    </row>
    <row r="872" spans="1:24" x14ac:dyDescent="0.25">
      <c r="A872" t="s">
        <v>1765</v>
      </c>
      <c r="B872" t="s">
        <v>1766</v>
      </c>
      <c r="C872" t="s">
        <v>57</v>
      </c>
      <c r="D872" t="s">
        <v>13</v>
      </c>
      <c r="E872" s="1">
        <v>45173</v>
      </c>
      <c r="F872" t="s">
        <v>14</v>
      </c>
      <c r="G872">
        <v>4499</v>
      </c>
      <c r="H872">
        <v>9517</v>
      </c>
      <c r="I872">
        <v>2.71</v>
      </c>
      <c r="J872">
        <v>2</v>
      </c>
      <c r="M872">
        <f t="shared" ca="1" si="52"/>
        <v>676</v>
      </c>
      <c r="N872" s="3" t="str" cm="1">
        <f t="array" ref="N872">_xlfn.IFS(I872&gt;=3.5,"Excellent",I872&gt;=3,"Good",I872&gt;=2,"Average",I872&lt;2,"Poor")</f>
        <v>Average</v>
      </c>
      <c r="P872" t="str">
        <f t="shared" si="53"/>
        <v>True</v>
      </c>
      <c r="Q872">
        <f t="shared" si="54"/>
        <v>221000</v>
      </c>
      <c r="R872">
        <v>2023</v>
      </c>
      <c r="X872" t="str">
        <f t="shared" ca="1" si="55"/>
        <v/>
      </c>
    </row>
    <row r="873" spans="1:24" x14ac:dyDescent="0.25">
      <c r="A873" t="s">
        <v>1767</v>
      </c>
      <c r="B873" t="s">
        <v>1768</v>
      </c>
      <c r="C873" t="s">
        <v>28</v>
      </c>
      <c r="D873" t="s">
        <v>62</v>
      </c>
      <c r="E873" s="1">
        <v>44888</v>
      </c>
      <c r="F873" t="s">
        <v>14</v>
      </c>
      <c r="G873">
        <v>12459</v>
      </c>
      <c r="H873">
        <v>889</v>
      </c>
      <c r="I873">
        <v>3.43</v>
      </c>
      <c r="J873">
        <v>57</v>
      </c>
      <c r="M873">
        <f t="shared" ca="1" si="52"/>
        <v>961</v>
      </c>
      <c r="N873" s="3" t="str" cm="1">
        <f t="array" ref="N873">_xlfn.IFS(I873&gt;=3.5,"Excellent",I873&gt;=3,"Good",I873&gt;=2,"Average",I873&lt;2,"Poor")</f>
        <v>Good</v>
      </c>
      <c r="P873" t="str">
        <f t="shared" si="53"/>
        <v/>
      </c>
      <c r="Q873">
        <f t="shared" si="54"/>
        <v>221000</v>
      </c>
      <c r="R873">
        <v>2022</v>
      </c>
      <c r="X873" t="str">
        <f t="shared" ca="1" si="55"/>
        <v/>
      </c>
    </row>
    <row r="874" spans="1:24" x14ac:dyDescent="0.25">
      <c r="A874" t="s">
        <v>1769</v>
      </c>
      <c r="B874" t="s">
        <v>1770</v>
      </c>
      <c r="C874" t="s">
        <v>57</v>
      </c>
      <c r="D874" t="s">
        <v>13</v>
      </c>
      <c r="E874" s="1">
        <v>45018</v>
      </c>
      <c r="F874" t="s">
        <v>14</v>
      </c>
      <c r="G874">
        <v>4107</v>
      </c>
      <c r="H874">
        <v>6953</v>
      </c>
      <c r="I874">
        <v>3.32</v>
      </c>
      <c r="J874">
        <v>8</v>
      </c>
      <c r="M874">
        <f t="shared" ca="1" si="52"/>
        <v>831</v>
      </c>
      <c r="N874" s="3" t="str" cm="1">
        <f t="array" ref="N874">_xlfn.IFS(I874&gt;=3.5,"Excellent",I874&gt;=3,"Good",I874&gt;=2,"Average",I874&lt;2,"Poor")</f>
        <v>Good</v>
      </c>
      <c r="P874" t="str">
        <f t="shared" si="53"/>
        <v>True</v>
      </c>
      <c r="Q874">
        <f t="shared" si="54"/>
        <v>221000</v>
      </c>
      <c r="R874">
        <v>2023</v>
      </c>
      <c r="X874" t="str">
        <f t="shared" ca="1" si="55"/>
        <v/>
      </c>
    </row>
    <row r="875" spans="1:24" x14ac:dyDescent="0.25">
      <c r="A875" t="s">
        <v>1771</v>
      </c>
      <c r="B875" t="s">
        <v>1772</v>
      </c>
      <c r="C875" t="s">
        <v>36</v>
      </c>
      <c r="D875" t="s">
        <v>18</v>
      </c>
      <c r="E875" s="1">
        <v>44690</v>
      </c>
      <c r="F875" t="s">
        <v>14</v>
      </c>
      <c r="G875">
        <v>3251</v>
      </c>
      <c r="H875">
        <v>9829</v>
      </c>
      <c r="I875">
        <v>2.73</v>
      </c>
      <c r="J875">
        <v>60</v>
      </c>
      <c r="M875">
        <f t="shared" ca="1" si="52"/>
        <v>1159</v>
      </c>
      <c r="N875" s="3" t="str" cm="1">
        <f t="array" ref="N875">_xlfn.IFS(I875&gt;=3.5,"Excellent",I875&gt;=3,"Good",I875&gt;=2,"Average",I875&lt;2,"Poor")</f>
        <v>Average</v>
      </c>
      <c r="P875" t="str">
        <f t="shared" si="53"/>
        <v>True</v>
      </c>
      <c r="Q875">
        <f t="shared" si="54"/>
        <v>221000</v>
      </c>
      <c r="R875">
        <v>2022</v>
      </c>
      <c r="X875" t="str">
        <f t="shared" ca="1" si="55"/>
        <v/>
      </c>
    </row>
    <row r="876" spans="1:24" x14ac:dyDescent="0.25">
      <c r="A876" t="s">
        <v>1773</v>
      </c>
      <c r="B876" t="s">
        <v>1774</v>
      </c>
      <c r="C876" t="s">
        <v>54</v>
      </c>
      <c r="D876" t="s">
        <v>18</v>
      </c>
      <c r="E876" s="1">
        <v>44578</v>
      </c>
      <c r="F876" t="s">
        <v>39</v>
      </c>
      <c r="G876">
        <v>8000</v>
      </c>
      <c r="H876">
        <v>5181</v>
      </c>
      <c r="I876">
        <v>2.27</v>
      </c>
      <c r="J876">
        <v>92</v>
      </c>
      <c r="M876" t="str">
        <f t="shared" ca="1" si="52"/>
        <v/>
      </c>
      <c r="N876" s="3" t="str" cm="1">
        <f t="array" ref="N876">_xlfn.IFS(I876&gt;=3.5,"Excellent",I876&gt;=3,"Good",I876&gt;=2,"Average",I876&lt;2,"Poor")</f>
        <v>Average</v>
      </c>
      <c r="P876" t="str">
        <f t="shared" si="53"/>
        <v>True</v>
      </c>
      <c r="Q876">
        <f t="shared" si="54"/>
        <v>221000</v>
      </c>
      <c r="R876">
        <v>2022</v>
      </c>
      <c r="X876" t="str">
        <f t="shared" ca="1" si="55"/>
        <v/>
      </c>
    </row>
    <row r="877" spans="1:24" x14ac:dyDescent="0.25">
      <c r="A877" t="s">
        <v>1775</v>
      </c>
      <c r="B877" t="s">
        <v>1776</v>
      </c>
      <c r="C877" t="s">
        <v>57</v>
      </c>
      <c r="D877" t="s">
        <v>62</v>
      </c>
      <c r="E877" s="1">
        <v>45405</v>
      </c>
      <c r="F877" t="s">
        <v>14</v>
      </c>
      <c r="G877">
        <v>4905</v>
      </c>
      <c r="H877">
        <v>8239</v>
      </c>
      <c r="I877">
        <v>3.24</v>
      </c>
      <c r="J877">
        <v>13</v>
      </c>
      <c r="M877">
        <f t="shared" ca="1" si="52"/>
        <v>444</v>
      </c>
      <c r="N877" s="3" t="str" cm="1">
        <f t="array" ref="N877">_xlfn.IFS(I877&gt;=3.5,"Excellent",I877&gt;=3,"Good",I877&gt;=2,"Average",I877&lt;2,"Poor")</f>
        <v>Good</v>
      </c>
      <c r="P877" t="str">
        <f t="shared" si="53"/>
        <v>True</v>
      </c>
      <c r="Q877">
        <f t="shared" si="54"/>
        <v>221000</v>
      </c>
      <c r="R877">
        <v>2024</v>
      </c>
      <c r="X877" t="str">
        <f t="shared" ca="1" si="55"/>
        <v/>
      </c>
    </row>
    <row r="878" spans="1:24" x14ac:dyDescent="0.25">
      <c r="A878" t="s">
        <v>1777</v>
      </c>
      <c r="B878" t="s">
        <v>1778</v>
      </c>
      <c r="C878" t="s">
        <v>36</v>
      </c>
      <c r="D878" t="s">
        <v>62</v>
      </c>
      <c r="E878" s="1">
        <v>45071</v>
      </c>
      <c r="F878" t="s">
        <v>14</v>
      </c>
      <c r="G878">
        <v>12331</v>
      </c>
      <c r="H878">
        <v>1249</v>
      </c>
      <c r="I878">
        <v>2.46</v>
      </c>
      <c r="J878">
        <v>29</v>
      </c>
      <c r="M878">
        <f t="shared" ca="1" si="52"/>
        <v>778</v>
      </c>
      <c r="N878" s="3" t="str" cm="1">
        <f t="array" ref="N878">_xlfn.IFS(I878&gt;=3.5,"Excellent",I878&gt;=3,"Good",I878&gt;=2,"Average",I878&lt;2,"Poor")</f>
        <v>Average</v>
      </c>
      <c r="P878" t="str">
        <f t="shared" si="53"/>
        <v/>
      </c>
      <c r="Q878">
        <f t="shared" si="54"/>
        <v>221000</v>
      </c>
      <c r="R878">
        <v>2023</v>
      </c>
      <c r="X878" t="str">
        <f t="shared" ca="1" si="55"/>
        <v/>
      </c>
    </row>
    <row r="879" spans="1:24" x14ac:dyDescent="0.25">
      <c r="A879" t="s">
        <v>1779</v>
      </c>
      <c r="B879" t="s">
        <v>1780</v>
      </c>
      <c r="C879" t="s">
        <v>57</v>
      </c>
      <c r="D879" t="s">
        <v>62</v>
      </c>
      <c r="E879" s="1">
        <v>45041</v>
      </c>
      <c r="F879" t="s">
        <v>39</v>
      </c>
      <c r="G879">
        <v>13471</v>
      </c>
      <c r="H879">
        <v>786</v>
      </c>
      <c r="I879">
        <v>3.26</v>
      </c>
      <c r="J879">
        <v>94</v>
      </c>
      <c r="M879" t="str">
        <f t="shared" ca="1" si="52"/>
        <v/>
      </c>
      <c r="N879" s="3" t="str" cm="1">
        <f t="array" ref="N879">_xlfn.IFS(I879&gt;=3.5,"Excellent",I879&gt;=3,"Good",I879&gt;=2,"Average",I879&lt;2,"Poor")</f>
        <v>Good</v>
      </c>
      <c r="P879" t="str">
        <f t="shared" si="53"/>
        <v/>
      </c>
      <c r="Q879">
        <f t="shared" si="54"/>
        <v>221000</v>
      </c>
      <c r="R879">
        <v>2023</v>
      </c>
      <c r="X879" t="str">
        <f t="shared" ca="1" si="55"/>
        <v/>
      </c>
    </row>
    <row r="880" spans="1:24" x14ac:dyDescent="0.25">
      <c r="A880" t="s">
        <v>1781</v>
      </c>
      <c r="B880" t="s">
        <v>1782</v>
      </c>
      <c r="C880" t="s">
        <v>22</v>
      </c>
      <c r="D880" t="s">
        <v>31</v>
      </c>
      <c r="E880" s="1">
        <v>44894</v>
      </c>
      <c r="F880" t="s">
        <v>14</v>
      </c>
      <c r="G880">
        <v>9678</v>
      </c>
      <c r="H880">
        <v>6115</v>
      </c>
      <c r="I880">
        <v>3.56</v>
      </c>
      <c r="J880">
        <v>81</v>
      </c>
      <c r="M880">
        <f t="shared" ca="1" si="52"/>
        <v>955</v>
      </c>
      <c r="N880" s="3" t="str" cm="1">
        <f t="array" ref="N880">_xlfn.IFS(I880&gt;=3.5,"Excellent",I880&gt;=3,"Good",I880&gt;=2,"Average",I880&lt;2,"Poor")</f>
        <v>Excellent</v>
      </c>
      <c r="P880" t="str">
        <f t="shared" si="53"/>
        <v>True</v>
      </c>
      <c r="Q880">
        <f t="shared" si="54"/>
        <v>221000</v>
      </c>
      <c r="R880">
        <v>2022</v>
      </c>
      <c r="X880" t="str">
        <f t="shared" ca="1" si="55"/>
        <v/>
      </c>
    </row>
    <row r="881" spans="1:24" x14ac:dyDescent="0.25">
      <c r="A881" t="s">
        <v>1783</v>
      </c>
      <c r="B881" t="s">
        <v>1784</v>
      </c>
      <c r="C881" t="s">
        <v>17</v>
      </c>
      <c r="D881" t="s">
        <v>13</v>
      </c>
      <c r="E881" s="1">
        <v>44796</v>
      </c>
      <c r="F881" t="s">
        <v>14</v>
      </c>
      <c r="G881">
        <v>9888</v>
      </c>
      <c r="H881">
        <v>7169</v>
      </c>
      <c r="I881">
        <v>3.71</v>
      </c>
      <c r="J881">
        <v>15</v>
      </c>
      <c r="M881">
        <f t="shared" ca="1" si="52"/>
        <v>1053</v>
      </c>
      <c r="N881" s="3" t="str" cm="1">
        <f t="array" ref="N881">_xlfn.IFS(I881&gt;=3.5,"Excellent",I881&gt;=3,"Good",I881&gt;=2,"Average",I881&lt;2,"Poor")</f>
        <v>Excellent</v>
      </c>
      <c r="P881" t="str">
        <f t="shared" si="53"/>
        <v>True</v>
      </c>
      <c r="Q881">
        <f t="shared" si="54"/>
        <v>221000</v>
      </c>
      <c r="R881">
        <v>2022</v>
      </c>
      <c r="X881" t="str">
        <f t="shared" ca="1" si="55"/>
        <v/>
      </c>
    </row>
    <row r="882" spans="1:24" x14ac:dyDescent="0.25">
      <c r="A882" t="s">
        <v>1785</v>
      </c>
      <c r="B882" t="s">
        <v>1786</v>
      </c>
      <c r="C882" t="s">
        <v>25</v>
      </c>
      <c r="D882" t="s">
        <v>18</v>
      </c>
      <c r="E882" s="1">
        <v>44955</v>
      </c>
      <c r="F882" t="s">
        <v>14</v>
      </c>
      <c r="G882">
        <v>11687</v>
      </c>
      <c r="H882">
        <v>8105</v>
      </c>
      <c r="I882">
        <v>3.45</v>
      </c>
      <c r="J882">
        <v>89</v>
      </c>
      <c r="M882">
        <f t="shared" ca="1" si="52"/>
        <v>894</v>
      </c>
      <c r="N882" s="3" t="str" cm="1">
        <f t="array" ref="N882">_xlfn.IFS(I882&gt;=3.5,"Excellent",I882&gt;=3,"Good",I882&gt;=2,"Average",I882&lt;2,"Poor")</f>
        <v>Good</v>
      </c>
      <c r="P882" t="str">
        <f t="shared" si="53"/>
        <v>True</v>
      </c>
      <c r="Q882">
        <f t="shared" si="54"/>
        <v>221000</v>
      </c>
      <c r="R882">
        <v>2023</v>
      </c>
      <c r="X882" t="str">
        <f t="shared" ca="1" si="55"/>
        <v/>
      </c>
    </row>
    <row r="883" spans="1:24" x14ac:dyDescent="0.25">
      <c r="A883" t="s">
        <v>1787</v>
      </c>
      <c r="B883" t="s">
        <v>1788</v>
      </c>
      <c r="C883" t="s">
        <v>36</v>
      </c>
      <c r="D883" t="s">
        <v>13</v>
      </c>
      <c r="E883" s="1">
        <v>45057</v>
      </c>
      <c r="F883" t="s">
        <v>14</v>
      </c>
      <c r="G883">
        <v>7453</v>
      </c>
      <c r="H883">
        <v>143</v>
      </c>
      <c r="I883">
        <v>2.73</v>
      </c>
      <c r="J883">
        <v>64</v>
      </c>
      <c r="M883">
        <f t="shared" ca="1" si="52"/>
        <v>792</v>
      </c>
      <c r="N883" s="3" t="str" cm="1">
        <f t="array" ref="N883">_xlfn.IFS(I883&gt;=3.5,"Excellent",I883&gt;=3,"Good",I883&gt;=2,"Average",I883&lt;2,"Poor")</f>
        <v>Average</v>
      </c>
      <c r="P883" t="str">
        <f t="shared" si="53"/>
        <v/>
      </c>
      <c r="Q883">
        <f t="shared" si="54"/>
        <v>221000</v>
      </c>
      <c r="R883">
        <v>2023</v>
      </c>
      <c r="X883" t="str">
        <f t="shared" ca="1" si="55"/>
        <v/>
      </c>
    </row>
    <row r="884" spans="1:24" x14ac:dyDescent="0.25">
      <c r="A884" t="s">
        <v>1789</v>
      </c>
      <c r="B884" t="s">
        <v>1790</v>
      </c>
      <c r="C884" t="s">
        <v>28</v>
      </c>
      <c r="D884" t="s">
        <v>62</v>
      </c>
      <c r="E884" s="1">
        <v>44932</v>
      </c>
      <c r="F884" t="s">
        <v>14</v>
      </c>
      <c r="G884">
        <v>8695</v>
      </c>
      <c r="H884">
        <v>7266</v>
      </c>
      <c r="I884">
        <v>3.03</v>
      </c>
      <c r="J884">
        <v>71</v>
      </c>
      <c r="M884">
        <f t="shared" ca="1" si="52"/>
        <v>917</v>
      </c>
      <c r="N884" s="3" t="str" cm="1">
        <f t="array" ref="N884">_xlfn.IFS(I884&gt;=3.5,"Excellent",I884&gt;=3,"Good",I884&gt;=2,"Average",I884&lt;2,"Poor")</f>
        <v>Good</v>
      </c>
      <c r="P884" t="str">
        <f t="shared" si="53"/>
        <v>True</v>
      </c>
      <c r="Q884">
        <f t="shared" si="54"/>
        <v>221000</v>
      </c>
      <c r="R884">
        <v>2023</v>
      </c>
      <c r="X884" t="str">
        <f t="shared" ca="1" si="55"/>
        <v/>
      </c>
    </row>
    <row r="885" spans="1:24" x14ac:dyDescent="0.25">
      <c r="A885" t="s">
        <v>1791</v>
      </c>
      <c r="B885" t="s">
        <v>1792</v>
      </c>
      <c r="C885" t="s">
        <v>57</v>
      </c>
      <c r="D885" t="s">
        <v>31</v>
      </c>
      <c r="E885" s="1">
        <v>45001</v>
      </c>
      <c r="F885" t="s">
        <v>19</v>
      </c>
      <c r="G885">
        <v>4856</v>
      </c>
      <c r="H885">
        <v>878</v>
      </c>
      <c r="I885">
        <v>2.65</v>
      </c>
      <c r="J885">
        <v>29</v>
      </c>
      <c r="M885" t="str">
        <f t="shared" ca="1" si="52"/>
        <v/>
      </c>
      <c r="N885" s="3" t="str" cm="1">
        <f t="array" ref="N885">_xlfn.IFS(I885&gt;=3.5,"Excellent",I885&gt;=3,"Good",I885&gt;=2,"Average",I885&lt;2,"Poor")</f>
        <v>Average</v>
      </c>
      <c r="P885" t="str">
        <f t="shared" si="53"/>
        <v/>
      </c>
      <c r="Q885">
        <f t="shared" si="54"/>
        <v>221000</v>
      </c>
      <c r="R885">
        <v>2023</v>
      </c>
      <c r="X885">
        <f t="shared" ca="1" si="55"/>
        <v>848</v>
      </c>
    </row>
    <row r="886" spans="1:24" x14ac:dyDescent="0.25">
      <c r="A886" t="s">
        <v>1793</v>
      </c>
      <c r="B886" t="s">
        <v>1794</v>
      </c>
      <c r="C886" t="s">
        <v>12</v>
      </c>
      <c r="D886" t="s">
        <v>62</v>
      </c>
      <c r="E886" s="1">
        <v>45231</v>
      </c>
      <c r="F886" t="s">
        <v>39</v>
      </c>
      <c r="G886">
        <v>6249</v>
      </c>
      <c r="H886">
        <v>1193</v>
      </c>
      <c r="I886">
        <v>3.99</v>
      </c>
      <c r="J886">
        <v>59</v>
      </c>
      <c r="M886" t="str">
        <f t="shared" ca="1" si="52"/>
        <v/>
      </c>
      <c r="N886" s="3" t="str" cm="1">
        <f t="array" ref="N886">_xlfn.IFS(I886&gt;=3.5,"Excellent",I886&gt;=3,"Good",I886&gt;=2,"Average",I886&lt;2,"Poor")</f>
        <v>Excellent</v>
      </c>
      <c r="P886" t="str">
        <f t="shared" si="53"/>
        <v/>
      </c>
      <c r="Q886">
        <f t="shared" si="54"/>
        <v>221000</v>
      </c>
      <c r="R886">
        <v>2023</v>
      </c>
      <c r="X886" t="str">
        <f t="shared" ca="1" si="55"/>
        <v/>
      </c>
    </row>
    <row r="887" spans="1:24" x14ac:dyDescent="0.25">
      <c r="A887" t="s">
        <v>1795</v>
      </c>
      <c r="B887" t="s">
        <v>1796</v>
      </c>
      <c r="C887" t="s">
        <v>57</v>
      </c>
      <c r="D887" t="s">
        <v>31</v>
      </c>
      <c r="E887" s="1">
        <v>45294</v>
      </c>
      <c r="F887" t="s">
        <v>14</v>
      </c>
      <c r="G887">
        <v>14319</v>
      </c>
      <c r="H887">
        <v>4428</v>
      </c>
      <c r="I887">
        <v>3.31</v>
      </c>
      <c r="J887">
        <v>36</v>
      </c>
      <c r="M887">
        <f t="shared" ca="1" si="52"/>
        <v>555</v>
      </c>
      <c r="N887" s="3" t="str" cm="1">
        <f t="array" ref="N887">_xlfn.IFS(I887&gt;=3.5,"Excellent",I887&gt;=3,"Good",I887&gt;=2,"Average",I887&lt;2,"Poor")</f>
        <v>Good</v>
      </c>
      <c r="P887" t="str">
        <f t="shared" si="53"/>
        <v/>
      </c>
      <c r="Q887">
        <f t="shared" si="54"/>
        <v>221000</v>
      </c>
      <c r="R887">
        <v>2024</v>
      </c>
      <c r="X887" t="str">
        <f t="shared" ca="1" si="55"/>
        <v/>
      </c>
    </row>
    <row r="888" spans="1:24" x14ac:dyDescent="0.25">
      <c r="A888" t="s">
        <v>1797</v>
      </c>
      <c r="B888" t="s">
        <v>1798</v>
      </c>
      <c r="C888" t="s">
        <v>36</v>
      </c>
      <c r="D888" t="s">
        <v>31</v>
      </c>
      <c r="E888" s="1">
        <v>45227</v>
      </c>
      <c r="F888" t="s">
        <v>14</v>
      </c>
      <c r="G888">
        <v>2324</v>
      </c>
      <c r="H888">
        <v>6152</v>
      </c>
      <c r="I888">
        <v>3.91</v>
      </c>
      <c r="J888">
        <v>18</v>
      </c>
      <c r="M888">
        <f t="shared" ca="1" si="52"/>
        <v>622</v>
      </c>
      <c r="N888" s="3" t="str" cm="1">
        <f t="array" ref="N888">_xlfn.IFS(I888&gt;=3.5,"Excellent",I888&gt;=3,"Good",I888&gt;=2,"Average",I888&lt;2,"Poor")</f>
        <v>Excellent</v>
      </c>
      <c r="P888" t="str">
        <f t="shared" si="53"/>
        <v>True</v>
      </c>
      <c r="Q888">
        <f t="shared" si="54"/>
        <v>221000</v>
      </c>
      <c r="R888">
        <v>2023</v>
      </c>
      <c r="X888" t="str">
        <f t="shared" ca="1" si="55"/>
        <v/>
      </c>
    </row>
    <row r="889" spans="1:24" x14ac:dyDescent="0.25">
      <c r="A889" t="s">
        <v>1799</v>
      </c>
      <c r="B889" t="s">
        <v>1800</v>
      </c>
      <c r="C889" t="s">
        <v>22</v>
      </c>
      <c r="D889" t="s">
        <v>13</v>
      </c>
      <c r="E889" s="1">
        <v>44663</v>
      </c>
      <c r="F889" t="s">
        <v>14</v>
      </c>
      <c r="G889">
        <v>6137</v>
      </c>
      <c r="H889">
        <v>1513</v>
      </c>
      <c r="I889">
        <v>2.93</v>
      </c>
      <c r="J889">
        <v>86</v>
      </c>
      <c r="M889">
        <f t="shared" ca="1" si="52"/>
        <v>1186</v>
      </c>
      <c r="N889" s="3" t="str" cm="1">
        <f t="array" ref="N889">_xlfn.IFS(I889&gt;=3.5,"Excellent",I889&gt;=3,"Good",I889&gt;=2,"Average",I889&lt;2,"Poor")</f>
        <v>Average</v>
      </c>
      <c r="P889" t="str">
        <f t="shared" si="53"/>
        <v/>
      </c>
      <c r="Q889">
        <f t="shared" si="54"/>
        <v>221000</v>
      </c>
      <c r="R889">
        <v>2022</v>
      </c>
      <c r="X889" t="str">
        <f t="shared" ca="1" si="55"/>
        <v/>
      </c>
    </row>
    <row r="890" spans="1:24" x14ac:dyDescent="0.25">
      <c r="A890" t="s">
        <v>1801</v>
      </c>
      <c r="B890" t="s">
        <v>1802</v>
      </c>
      <c r="C890" t="s">
        <v>12</v>
      </c>
      <c r="D890" t="s">
        <v>31</v>
      </c>
      <c r="E890" s="1">
        <v>45157</v>
      </c>
      <c r="F890" t="s">
        <v>14</v>
      </c>
      <c r="G890">
        <v>3993</v>
      </c>
      <c r="H890">
        <v>488</v>
      </c>
      <c r="I890">
        <v>3.87</v>
      </c>
      <c r="J890">
        <v>30</v>
      </c>
      <c r="M890">
        <f t="shared" ca="1" si="52"/>
        <v>692</v>
      </c>
      <c r="N890" s="3" t="str" cm="1">
        <f t="array" ref="N890">_xlfn.IFS(I890&gt;=3.5,"Excellent",I890&gt;=3,"Good",I890&gt;=2,"Average",I890&lt;2,"Poor")</f>
        <v>Excellent</v>
      </c>
      <c r="P890" t="str">
        <f t="shared" si="53"/>
        <v/>
      </c>
      <c r="Q890">
        <f t="shared" si="54"/>
        <v>221000</v>
      </c>
      <c r="R890">
        <v>2023</v>
      </c>
      <c r="X890" t="str">
        <f t="shared" ca="1" si="55"/>
        <v/>
      </c>
    </row>
    <row r="891" spans="1:24" x14ac:dyDescent="0.25">
      <c r="A891" t="s">
        <v>1803</v>
      </c>
      <c r="B891" t="s">
        <v>1804</v>
      </c>
      <c r="C891" t="s">
        <v>54</v>
      </c>
      <c r="D891" t="s">
        <v>13</v>
      </c>
      <c r="E891" s="1">
        <v>45296</v>
      </c>
      <c r="F891" t="s">
        <v>14</v>
      </c>
      <c r="G891">
        <v>3592</v>
      </c>
      <c r="H891">
        <v>5288</v>
      </c>
      <c r="I891">
        <v>2.31</v>
      </c>
      <c r="J891">
        <v>57</v>
      </c>
      <c r="M891">
        <f t="shared" ca="1" si="52"/>
        <v>553</v>
      </c>
      <c r="N891" s="3" t="str" cm="1">
        <f t="array" ref="N891">_xlfn.IFS(I891&gt;=3.5,"Excellent",I891&gt;=3,"Good",I891&gt;=2,"Average",I891&lt;2,"Poor")</f>
        <v>Average</v>
      </c>
      <c r="P891" t="str">
        <f t="shared" si="53"/>
        <v>True</v>
      </c>
      <c r="Q891">
        <f t="shared" si="54"/>
        <v>221000</v>
      </c>
      <c r="R891">
        <v>2024</v>
      </c>
      <c r="X891" t="str">
        <f t="shared" ca="1" si="55"/>
        <v/>
      </c>
    </row>
    <row r="892" spans="1:24" x14ac:dyDescent="0.25">
      <c r="A892" t="s">
        <v>1805</v>
      </c>
      <c r="B892" t="s">
        <v>1806</v>
      </c>
      <c r="C892" t="s">
        <v>36</v>
      </c>
      <c r="D892" t="s">
        <v>62</v>
      </c>
      <c r="E892" s="1">
        <v>45322</v>
      </c>
      <c r="F892" t="s">
        <v>14</v>
      </c>
      <c r="G892">
        <v>6150</v>
      </c>
      <c r="H892">
        <v>7731</v>
      </c>
      <c r="I892">
        <v>2.79</v>
      </c>
      <c r="J892">
        <v>15</v>
      </c>
      <c r="M892">
        <f t="shared" ca="1" si="52"/>
        <v>527</v>
      </c>
      <c r="N892" s="3" t="str" cm="1">
        <f t="array" ref="N892">_xlfn.IFS(I892&gt;=3.5,"Excellent",I892&gt;=3,"Good",I892&gt;=2,"Average",I892&lt;2,"Poor")</f>
        <v>Average</v>
      </c>
      <c r="P892" t="str">
        <f t="shared" si="53"/>
        <v>True</v>
      </c>
      <c r="Q892">
        <f t="shared" si="54"/>
        <v>221000</v>
      </c>
      <c r="R892">
        <v>2024</v>
      </c>
      <c r="X892" t="str">
        <f t="shared" ca="1" si="55"/>
        <v/>
      </c>
    </row>
    <row r="893" spans="1:24" x14ac:dyDescent="0.25">
      <c r="A893" t="s">
        <v>1807</v>
      </c>
      <c r="B893" t="s">
        <v>1808</v>
      </c>
      <c r="C893" t="s">
        <v>25</v>
      </c>
      <c r="D893" t="s">
        <v>31</v>
      </c>
      <c r="E893" s="1">
        <v>44664</v>
      </c>
      <c r="F893" t="s">
        <v>39</v>
      </c>
      <c r="G893">
        <v>6690</v>
      </c>
      <c r="H893">
        <v>9543</v>
      </c>
      <c r="I893">
        <v>3.4</v>
      </c>
      <c r="J893">
        <v>56</v>
      </c>
      <c r="M893" t="str">
        <f t="shared" ca="1" si="52"/>
        <v/>
      </c>
      <c r="N893" s="3" t="str" cm="1">
        <f t="array" ref="N893">_xlfn.IFS(I893&gt;=3.5,"Excellent",I893&gt;=3,"Good",I893&gt;=2,"Average",I893&lt;2,"Poor")</f>
        <v>Good</v>
      </c>
      <c r="P893" t="str">
        <f t="shared" si="53"/>
        <v>True</v>
      </c>
      <c r="Q893">
        <f t="shared" si="54"/>
        <v>221000</v>
      </c>
      <c r="R893">
        <v>2022</v>
      </c>
      <c r="X893" t="str">
        <f t="shared" ca="1" si="55"/>
        <v/>
      </c>
    </row>
    <row r="894" spans="1:24" x14ac:dyDescent="0.25">
      <c r="A894" t="s">
        <v>1809</v>
      </c>
      <c r="B894" t="s">
        <v>1810</v>
      </c>
      <c r="C894" t="s">
        <v>36</v>
      </c>
      <c r="D894" t="s">
        <v>31</v>
      </c>
      <c r="E894" s="1">
        <v>44614</v>
      </c>
      <c r="F894" t="s">
        <v>19</v>
      </c>
      <c r="G894">
        <v>11719</v>
      </c>
      <c r="H894">
        <v>2949</v>
      </c>
      <c r="I894">
        <v>2.93</v>
      </c>
      <c r="J894">
        <v>107</v>
      </c>
      <c r="M894" t="str">
        <f t="shared" ca="1" si="52"/>
        <v/>
      </c>
      <c r="N894" s="3" t="str" cm="1">
        <f t="array" ref="N894">_xlfn.IFS(I894&gt;=3.5,"Excellent",I894&gt;=3,"Good",I894&gt;=2,"Average",I894&lt;2,"Poor")</f>
        <v>Average</v>
      </c>
      <c r="P894" t="str">
        <f t="shared" si="53"/>
        <v/>
      </c>
      <c r="Q894">
        <f t="shared" si="54"/>
        <v>221000</v>
      </c>
      <c r="R894">
        <v>2022</v>
      </c>
      <c r="X894">
        <f t="shared" ca="1" si="55"/>
        <v>1235</v>
      </c>
    </row>
    <row r="895" spans="1:24" x14ac:dyDescent="0.25">
      <c r="A895" t="s">
        <v>1811</v>
      </c>
      <c r="B895" t="s">
        <v>1812</v>
      </c>
      <c r="C895" t="s">
        <v>17</v>
      </c>
      <c r="D895" t="s">
        <v>18</v>
      </c>
      <c r="E895" s="1">
        <v>45447</v>
      </c>
      <c r="F895" t="s">
        <v>14</v>
      </c>
      <c r="G895">
        <v>2659</v>
      </c>
      <c r="H895">
        <v>2093</v>
      </c>
      <c r="I895">
        <v>3.8</v>
      </c>
      <c r="J895">
        <v>101</v>
      </c>
      <c r="M895">
        <f t="shared" ca="1" si="52"/>
        <v>402</v>
      </c>
      <c r="N895" s="3" t="str" cm="1">
        <f t="array" ref="N895">_xlfn.IFS(I895&gt;=3.5,"Excellent",I895&gt;=3,"Good",I895&gt;=2,"Average",I895&lt;2,"Poor")</f>
        <v>Excellent</v>
      </c>
      <c r="P895" t="str">
        <f t="shared" si="53"/>
        <v>True</v>
      </c>
      <c r="Q895">
        <f t="shared" si="54"/>
        <v>221000</v>
      </c>
      <c r="R895">
        <v>2024</v>
      </c>
      <c r="X895" t="str">
        <f t="shared" ca="1" si="55"/>
        <v/>
      </c>
    </row>
    <row r="896" spans="1:24" x14ac:dyDescent="0.25">
      <c r="A896" t="s">
        <v>1813</v>
      </c>
      <c r="B896" t="s">
        <v>1814</v>
      </c>
      <c r="C896" t="s">
        <v>12</v>
      </c>
      <c r="D896" t="s">
        <v>62</v>
      </c>
      <c r="E896" s="1">
        <v>44922</v>
      </c>
      <c r="F896" t="s">
        <v>14</v>
      </c>
      <c r="G896">
        <v>9484</v>
      </c>
      <c r="H896">
        <v>2759</v>
      </c>
      <c r="I896">
        <v>2.25</v>
      </c>
      <c r="J896">
        <v>114</v>
      </c>
      <c r="M896">
        <f t="shared" ca="1" si="52"/>
        <v>927</v>
      </c>
      <c r="N896" s="3" t="str" cm="1">
        <f t="array" ref="N896">_xlfn.IFS(I896&gt;=3.5,"Excellent",I896&gt;=3,"Good",I896&gt;=2,"Average",I896&lt;2,"Poor")</f>
        <v>Average</v>
      </c>
      <c r="P896" t="str">
        <f t="shared" si="53"/>
        <v/>
      </c>
      <c r="Q896">
        <f t="shared" si="54"/>
        <v>221000</v>
      </c>
      <c r="R896">
        <v>2022</v>
      </c>
      <c r="X896" t="str">
        <f t="shared" ca="1" si="55"/>
        <v/>
      </c>
    </row>
    <row r="897" spans="1:24" x14ac:dyDescent="0.25">
      <c r="A897" t="s">
        <v>1815</v>
      </c>
      <c r="B897" t="s">
        <v>1816</v>
      </c>
      <c r="C897" t="s">
        <v>57</v>
      </c>
      <c r="D897" t="s">
        <v>18</v>
      </c>
      <c r="E897" s="1">
        <v>44892</v>
      </c>
      <c r="F897" t="s">
        <v>14</v>
      </c>
      <c r="G897">
        <v>2133</v>
      </c>
      <c r="H897">
        <v>244</v>
      </c>
      <c r="I897">
        <v>3.72</v>
      </c>
      <c r="J897">
        <v>17</v>
      </c>
      <c r="M897">
        <f t="shared" ca="1" si="52"/>
        <v>957</v>
      </c>
      <c r="N897" s="3" t="str" cm="1">
        <f t="array" ref="N897">_xlfn.IFS(I897&gt;=3.5,"Excellent",I897&gt;=3,"Good",I897&gt;=2,"Average",I897&lt;2,"Poor")</f>
        <v>Excellent</v>
      </c>
      <c r="P897" t="str">
        <f t="shared" si="53"/>
        <v/>
      </c>
      <c r="Q897">
        <f t="shared" si="54"/>
        <v>221000</v>
      </c>
      <c r="R897">
        <v>2022</v>
      </c>
      <c r="X897" t="str">
        <f t="shared" ca="1" si="55"/>
        <v/>
      </c>
    </row>
    <row r="898" spans="1:24" x14ac:dyDescent="0.25">
      <c r="A898" t="s">
        <v>1817</v>
      </c>
      <c r="B898" t="s">
        <v>1818</v>
      </c>
      <c r="C898" t="s">
        <v>12</v>
      </c>
      <c r="D898" t="s">
        <v>13</v>
      </c>
      <c r="E898" s="1">
        <v>44734</v>
      </c>
      <c r="F898" t="s">
        <v>14</v>
      </c>
      <c r="G898">
        <v>6910</v>
      </c>
      <c r="H898">
        <v>6618</v>
      </c>
      <c r="I898">
        <v>2.23</v>
      </c>
      <c r="J898">
        <v>19</v>
      </c>
      <c r="M898">
        <f t="shared" ca="1" si="52"/>
        <v>1115</v>
      </c>
      <c r="N898" s="3" t="str" cm="1">
        <f t="array" ref="N898">_xlfn.IFS(I898&gt;=3.5,"Excellent",I898&gt;=3,"Good",I898&gt;=2,"Average",I898&lt;2,"Poor")</f>
        <v>Average</v>
      </c>
      <c r="P898" t="str">
        <f t="shared" si="53"/>
        <v>True</v>
      </c>
      <c r="Q898">
        <f t="shared" si="54"/>
        <v>221000</v>
      </c>
      <c r="R898">
        <v>2022</v>
      </c>
      <c r="X898" t="str">
        <f t="shared" ca="1" si="55"/>
        <v/>
      </c>
    </row>
    <row r="899" spans="1:24" x14ac:dyDescent="0.25">
      <c r="A899" t="s">
        <v>1819</v>
      </c>
      <c r="B899" t="s">
        <v>1820</v>
      </c>
      <c r="C899" t="s">
        <v>25</v>
      </c>
      <c r="D899" t="s">
        <v>18</v>
      </c>
      <c r="E899" s="1">
        <v>44768</v>
      </c>
      <c r="F899" t="s">
        <v>14</v>
      </c>
      <c r="G899">
        <v>13914</v>
      </c>
      <c r="H899">
        <v>7642</v>
      </c>
      <c r="I899">
        <v>3.94</v>
      </c>
      <c r="J899">
        <v>57</v>
      </c>
      <c r="M899">
        <f t="shared" ref="M899:M962" ca="1" si="56">IF(F899="Enrolled",TODAY()-E899,"")</f>
        <v>1081</v>
      </c>
      <c r="N899" s="3" t="str" cm="1">
        <f t="array" ref="N899">_xlfn.IFS(I899&gt;=3.5,"Excellent",I899&gt;=3,"Good",I899&gt;=2,"Average",I899&lt;2,"Poor")</f>
        <v>Excellent</v>
      </c>
      <c r="P899" t="str">
        <f t="shared" ref="P899:P962" si="57">IF(H899&gt;0.5*G899,"True","")</f>
        <v>True</v>
      </c>
      <c r="Q899">
        <f t="shared" ref="Q899:Q962" si="58">SUMIFS(G899:G2098,F899:F2098,"Completed",D899:D2098,"Science")</f>
        <v>221000</v>
      </c>
      <c r="R899">
        <v>2022</v>
      </c>
      <c r="X899" t="str">
        <f t="shared" ref="X899:X962" ca="1" si="59">IF(F899="Completed",TODAY()-E899,"")</f>
        <v/>
      </c>
    </row>
    <row r="900" spans="1:24" x14ac:dyDescent="0.25">
      <c r="A900" t="s">
        <v>1821</v>
      </c>
      <c r="B900" t="s">
        <v>1822</v>
      </c>
      <c r="C900" t="s">
        <v>25</v>
      </c>
      <c r="D900" t="s">
        <v>13</v>
      </c>
      <c r="E900" s="1">
        <v>45016</v>
      </c>
      <c r="F900" t="s">
        <v>19</v>
      </c>
      <c r="G900">
        <v>11039</v>
      </c>
      <c r="H900">
        <v>9104</v>
      </c>
      <c r="I900">
        <v>3.98</v>
      </c>
      <c r="J900">
        <v>52</v>
      </c>
      <c r="M900" t="str">
        <f t="shared" ca="1" si="56"/>
        <v/>
      </c>
      <c r="N900" s="3" t="str" cm="1">
        <f t="array" ref="N900">_xlfn.IFS(I900&gt;=3.5,"Excellent",I900&gt;=3,"Good",I900&gt;=2,"Average",I900&lt;2,"Poor")</f>
        <v>Excellent</v>
      </c>
      <c r="P900" t="str">
        <f t="shared" si="57"/>
        <v>True</v>
      </c>
      <c r="Q900">
        <f t="shared" si="58"/>
        <v>221000</v>
      </c>
      <c r="R900">
        <v>2023</v>
      </c>
      <c r="X900">
        <f t="shared" ca="1" si="59"/>
        <v>833</v>
      </c>
    </row>
    <row r="901" spans="1:24" x14ac:dyDescent="0.25">
      <c r="A901" t="s">
        <v>1823</v>
      </c>
      <c r="B901" t="s">
        <v>1824</v>
      </c>
      <c r="C901" t="s">
        <v>25</v>
      </c>
      <c r="D901" t="s">
        <v>13</v>
      </c>
      <c r="E901" s="1">
        <v>44773</v>
      </c>
      <c r="F901" t="s">
        <v>14</v>
      </c>
      <c r="G901">
        <v>8134</v>
      </c>
      <c r="H901">
        <v>3190</v>
      </c>
      <c r="I901">
        <v>2.73</v>
      </c>
      <c r="J901">
        <v>68</v>
      </c>
      <c r="M901">
        <f t="shared" ca="1" si="56"/>
        <v>1076</v>
      </c>
      <c r="N901" s="3" t="str" cm="1">
        <f t="array" ref="N901">_xlfn.IFS(I901&gt;=3.5,"Excellent",I901&gt;=3,"Good",I901&gt;=2,"Average",I901&lt;2,"Poor")</f>
        <v>Average</v>
      </c>
      <c r="P901" t="str">
        <f t="shared" si="57"/>
        <v/>
      </c>
      <c r="Q901">
        <f t="shared" si="58"/>
        <v>221000</v>
      </c>
      <c r="R901">
        <v>2022</v>
      </c>
      <c r="X901" t="str">
        <f t="shared" ca="1" si="59"/>
        <v/>
      </c>
    </row>
    <row r="902" spans="1:24" x14ac:dyDescent="0.25">
      <c r="A902" t="s">
        <v>1825</v>
      </c>
      <c r="B902" t="s">
        <v>1826</v>
      </c>
      <c r="C902" t="s">
        <v>54</v>
      </c>
      <c r="D902" t="s">
        <v>31</v>
      </c>
      <c r="E902" s="1">
        <v>45175</v>
      </c>
      <c r="F902" t="s">
        <v>19</v>
      </c>
      <c r="G902">
        <v>5424</v>
      </c>
      <c r="H902">
        <v>5871</v>
      </c>
      <c r="I902">
        <v>3.18</v>
      </c>
      <c r="J902">
        <v>32</v>
      </c>
      <c r="M902" t="str">
        <f t="shared" ca="1" si="56"/>
        <v/>
      </c>
      <c r="N902" s="3" t="str" cm="1">
        <f t="array" ref="N902">_xlfn.IFS(I902&gt;=3.5,"Excellent",I902&gt;=3,"Good",I902&gt;=2,"Average",I902&lt;2,"Poor")</f>
        <v>Good</v>
      </c>
      <c r="P902" t="str">
        <f t="shared" si="57"/>
        <v>True</v>
      </c>
      <c r="Q902">
        <f t="shared" si="58"/>
        <v>221000</v>
      </c>
      <c r="R902">
        <v>2023</v>
      </c>
      <c r="X902">
        <f t="shared" ca="1" si="59"/>
        <v>674</v>
      </c>
    </row>
    <row r="903" spans="1:24" x14ac:dyDescent="0.25">
      <c r="A903" t="s">
        <v>1827</v>
      </c>
      <c r="B903" t="s">
        <v>1828</v>
      </c>
      <c r="C903" t="s">
        <v>22</v>
      </c>
      <c r="D903" t="s">
        <v>62</v>
      </c>
      <c r="E903" s="1">
        <v>44948</v>
      </c>
      <c r="F903" t="s">
        <v>14</v>
      </c>
      <c r="G903">
        <v>14379</v>
      </c>
      <c r="H903">
        <v>7146</v>
      </c>
      <c r="I903">
        <v>3.15</v>
      </c>
      <c r="J903">
        <v>80</v>
      </c>
      <c r="M903">
        <f t="shared" ca="1" si="56"/>
        <v>901</v>
      </c>
      <c r="N903" s="3" t="str" cm="1">
        <f t="array" ref="N903">_xlfn.IFS(I903&gt;=3.5,"Excellent",I903&gt;=3,"Good",I903&gt;=2,"Average",I903&lt;2,"Poor")</f>
        <v>Good</v>
      </c>
      <c r="P903" t="str">
        <f t="shared" si="57"/>
        <v/>
      </c>
      <c r="Q903">
        <f t="shared" si="58"/>
        <v>221000</v>
      </c>
      <c r="R903">
        <v>2023</v>
      </c>
      <c r="X903" t="str">
        <f t="shared" ca="1" si="59"/>
        <v/>
      </c>
    </row>
    <row r="904" spans="1:24" x14ac:dyDescent="0.25">
      <c r="A904" t="s">
        <v>1829</v>
      </c>
      <c r="B904" t="s">
        <v>1830</v>
      </c>
      <c r="C904" t="s">
        <v>57</v>
      </c>
      <c r="D904" t="s">
        <v>18</v>
      </c>
      <c r="E904" s="1">
        <v>45115</v>
      </c>
      <c r="F904" t="s">
        <v>14</v>
      </c>
      <c r="G904">
        <v>5400</v>
      </c>
      <c r="H904">
        <v>6864</v>
      </c>
      <c r="I904">
        <v>3.76</v>
      </c>
      <c r="J904">
        <v>88</v>
      </c>
      <c r="M904">
        <f t="shared" ca="1" si="56"/>
        <v>734</v>
      </c>
      <c r="N904" s="3" t="str" cm="1">
        <f t="array" ref="N904">_xlfn.IFS(I904&gt;=3.5,"Excellent",I904&gt;=3,"Good",I904&gt;=2,"Average",I904&lt;2,"Poor")</f>
        <v>Excellent</v>
      </c>
      <c r="P904" t="str">
        <f t="shared" si="57"/>
        <v>True</v>
      </c>
      <c r="Q904">
        <f t="shared" si="58"/>
        <v>221000</v>
      </c>
      <c r="R904">
        <v>2023</v>
      </c>
      <c r="X904" t="str">
        <f t="shared" ca="1" si="59"/>
        <v/>
      </c>
    </row>
    <row r="905" spans="1:24" x14ac:dyDescent="0.25">
      <c r="A905" t="s">
        <v>1831</v>
      </c>
      <c r="B905" t="s">
        <v>1832</v>
      </c>
      <c r="C905" t="s">
        <v>25</v>
      </c>
      <c r="D905" t="s">
        <v>62</v>
      </c>
      <c r="E905" s="1">
        <v>44790</v>
      </c>
      <c r="F905" t="s">
        <v>19</v>
      </c>
      <c r="G905">
        <v>9862</v>
      </c>
      <c r="H905">
        <v>3356</v>
      </c>
      <c r="I905">
        <v>3.23</v>
      </c>
      <c r="J905">
        <v>103</v>
      </c>
      <c r="M905" t="str">
        <f t="shared" ca="1" si="56"/>
        <v/>
      </c>
      <c r="N905" s="3" t="str" cm="1">
        <f t="array" ref="N905">_xlfn.IFS(I905&gt;=3.5,"Excellent",I905&gt;=3,"Good",I905&gt;=2,"Average",I905&lt;2,"Poor")</f>
        <v>Good</v>
      </c>
      <c r="P905" t="str">
        <f t="shared" si="57"/>
        <v/>
      </c>
      <c r="Q905">
        <f t="shared" si="58"/>
        <v>221000</v>
      </c>
      <c r="R905">
        <v>2022</v>
      </c>
      <c r="X905">
        <f t="shared" ca="1" si="59"/>
        <v>1059</v>
      </c>
    </row>
    <row r="906" spans="1:24" x14ac:dyDescent="0.25">
      <c r="A906" t="s">
        <v>1833</v>
      </c>
      <c r="B906" t="s">
        <v>1834</v>
      </c>
      <c r="C906" t="s">
        <v>12</v>
      </c>
      <c r="D906" t="s">
        <v>62</v>
      </c>
      <c r="E906" s="1">
        <v>45357</v>
      </c>
      <c r="F906" t="s">
        <v>14</v>
      </c>
      <c r="G906">
        <v>8496</v>
      </c>
      <c r="H906">
        <v>3990</v>
      </c>
      <c r="I906">
        <v>2.1800000000000002</v>
      </c>
      <c r="J906">
        <v>44</v>
      </c>
      <c r="M906">
        <f t="shared" ca="1" si="56"/>
        <v>492</v>
      </c>
      <c r="N906" s="3" t="str" cm="1">
        <f t="array" ref="N906">_xlfn.IFS(I906&gt;=3.5,"Excellent",I906&gt;=3,"Good",I906&gt;=2,"Average",I906&lt;2,"Poor")</f>
        <v>Average</v>
      </c>
      <c r="P906" t="str">
        <f t="shared" si="57"/>
        <v/>
      </c>
      <c r="Q906">
        <f t="shared" si="58"/>
        <v>221000</v>
      </c>
      <c r="R906">
        <v>2024</v>
      </c>
      <c r="X906" t="str">
        <f t="shared" ca="1" si="59"/>
        <v/>
      </c>
    </row>
    <row r="907" spans="1:24" x14ac:dyDescent="0.25">
      <c r="A907" t="s">
        <v>1835</v>
      </c>
      <c r="B907" t="s">
        <v>1836</v>
      </c>
      <c r="C907" t="s">
        <v>57</v>
      </c>
      <c r="D907" t="s">
        <v>62</v>
      </c>
      <c r="E907" s="1">
        <v>44801</v>
      </c>
      <c r="F907" t="s">
        <v>14</v>
      </c>
      <c r="G907">
        <v>7820</v>
      </c>
      <c r="H907">
        <v>809</v>
      </c>
      <c r="I907">
        <v>2.75</v>
      </c>
      <c r="J907">
        <v>64</v>
      </c>
      <c r="M907">
        <f t="shared" ca="1" si="56"/>
        <v>1048</v>
      </c>
      <c r="N907" s="3" t="str" cm="1">
        <f t="array" ref="N907">_xlfn.IFS(I907&gt;=3.5,"Excellent",I907&gt;=3,"Good",I907&gt;=2,"Average",I907&lt;2,"Poor")</f>
        <v>Average</v>
      </c>
      <c r="P907" t="str">
        <f t="shared" si="57"/>
        <v/>
      </c>
      <c r="Q907">
        <f t="shared" si="58"/>
        <v>221000</v>
      </c>
      <c r="R907">
        <v>2022</v>
      </c>
      <c r="X907" t="str">
        <f t="shared" ca="1" si="59"/>
        <v/>
      </c>
    </row>
    <row r="908" spans="1:24" x14ac:dyDescent="0.25">
      <c r="A908" t="s">
        <v>1837</v>
      </c>
      <c r="B908" t="s">
        <v>1838</v>
      </c>
      <c r="C908" t="s">
        <v>36</v>
      </c>
      <c r="D908" t="s">
        <v>31</v>
      </c>
      <c r="E908" s="1">
        <v>45402</v>
      </c>
      <c r="F908" t="s">
        <v>14</v>
      </c>
      <c r="G908">
        <v>14630</v>
      </c>
      <c r="H908">
        <v>7086</v>
      </c>
      <c r="I908">
        <v>2.0099999999999998</v>
      </c>
      <c r="J908">
        <v>31</v>
      </c>
      <c r="M908">
        <f t="shared" ca="1" si="56"/>
        <v>447</v>
      </c>
      <c r="N908" s="3" t="str" cm="1">
        <f t="array" ref="N908">_xlfn.IFS(I908&gt;=3.5,"Excellent",I908&gt;=3,"Good",I908&gt;=2,"Average",I908&lt;2,"Poor")</f>
        <v>Average</v>
      </c>
      <c r="P908" t="str">
        <f t="shared" si="57"/>
        <v/>
      </c>
      <c r="Q908">
        <f t="shared" si="58"/>
        <v>221000</v>
      </c>
      <c r="R908">
        <v>2024</v>
      </c>
      <c r="X908" t="str">
        <f t="shared" ca="1" si="59"/>
        <v/>
      </c>
    </row>
    <row r="909" spans="1:24" x14ac:dyDescent="0.25">
      <c r="A909" t="s">
        <v>1839</v>
      </c>
      <c r="B909" t="s">
        <v>1840</v>
      </c>
      <c r="C909" t="s">
        <v>22</v>
      </c>
      <c r="D909" t="s">
        <v>18</v>
      </c>
      <c r="E909" s="1">
        <v>44848</v>
      </c>
      <c r="F909" t="s">
        <v>14</v>
      </c>
      <c r="G909">
        <v>7470</v>
      </c>
      <c r="H909">
        <v>6312</v>
      </c>
      <c r="I909">
        <v>3.06</v>
      </c>
      <c r="J909">
        <v>86</v>
      </c>
      <c r="M909">
        <f t="shared" ca="1" si="56"/>
        <v>1001</v>
      </c>
      <c r="N909" s="3" t="str" cm="1">
        <f t="array" ref="N909">_xlfn.IFS(I909&gt;=3.5,"Excellent",I909&gt;=3,"Good",I909&gt;=2,"Average",I909&lt;2,"Poor")</f>
        <v>Good</v>
      </c>
      <c r="P909" t="str">
        <f t="shared" si="57"/>
        <v>True</v>
      </c>
      <c r="Q909">
        <f t="shared" si="58"/>
        <v>221000</v>
      </c>
      <c r="R909">
        <v>2022</v>
      </c>
      <c r="X909" t="str">
        <f t="shared" ca="1" si="59"/>
        <v/>
      </c>
    </row>
    <row r="910" spans="1:24" x14ac:dyDescent="0.25">
      <c r="A910" t="s">
        <v>1841</v>
      </c>
      <c r="B910" t="s">
        <v>1842</v>
      </c>
      <c r="C910" t="s">
        <v>17</v>
      </c>
      <c r="D910" t="s">
        <v>18</v>
      </c>
      <c r="E910" s="1">
        <v>44654</v>
      </c>
      <c r="F910" t="s">
        <v>14</v>
      </c>
      <c r="G910">
        <v>6296</v>
      </c>
      <c r="H910">
        <v>958</v>
      </c>
      <c r="I910">
        <v>3.45</v>
      </c>
      <c r="J910">
        <v>62</v>
      </c>
      <c r="M910">
        <f t="shared" ca="1" si="56"/>
        <v>1195</v>
      </c>
      <c r="N910" s="3" t="str" cm="1">
        <f t="array" ref="N910">_xlfn.IFS(I910&gt;=3.5,"Excellent",I910&gt;=3,"Good",I910&gt;=2,"Average",I910&lt;2,"Poor")</f>
        <v>Good</v>
      </c>
      <c r="P910" t="str">
        <f t="shared" si="57"/>
        <v/>
      </c>
      <c r="Q910">
        <f t="shared" si="58"/>
        <v>221000</v>
      </c>
      <c r="R910">
        <v>2022</v>
      </c>
      <c r="X910" t="str">
        <f t="shared" ca="1" si="59"/>
        <v/>
      </c>
    </row>
    <row r="911" spans="1:24" x14ac:dyDescent="0.25">
      <c r="A911" t="s">
        <v>1843</v>
      </c>
      <c r="B911" t="s">
        <v>1844</v>
      </c>
      <c r="C911" t="s">
        <v>57</v>
      </c>
      <c r="D911" t="s">
        <v>62</v>
      </c>
      <c r="E911" s="1">
        <v>44770</v>
      </c>
      <c r="F911" t="s">
        <v>19</v>
      </c>
      <c r="G911">
        <v>2346</v>
      </c>
      <c r="H911">
        <v>5333</v>
      </c>
      <c r="I911">
        <v>2.74</v>
      </c>
      <c r="J911">
        <v>105</v>
      </c>
      <c r="M911" t="str">
        <f t="shared" ca="1" si="56"/>
        <v/>
      </c>
      <c r="N911" s="3" t="str" cm="1">
        <f t="array" ref="N911">_xlfn.IFS(I911&gt;=3.5,"Excellent",I911&gt;=3,"Good",I911&gt;=2,"Average",I911&lt;2,"Poor")</f>
        <v>Average</v>
      </c>
      <c r="P911" t="str">
        <f t="shared" si="57"/>
        <v>True</v>
      </c>
      <c r="Q911">
        <f t="shared" si="58"/>
        <v>221000</v>
      </c>
      <c r="R911">
        <v>2022</v>
      </c>
      <c r="X911">
        <f t="shared" ca="1" si="59"/>
        <v>1079</v>
      </c>
    </row>
    <row r="912" spans="1:24" x14ac:dyDescent="0.25">
      <c r="A912" t="s">
        <v>1845</v>
      </c>
      <c r="B912" t="s">
        <v>1846</v>
      </c>
      <c r="C912" t="s">
        <v>17</v>
      </c>
      <c r="D912" t="s">
        <v>13</v>
      </c>
      <c r="E912" s="1">
        <v>45377</v>
      </c>
      <c r="F912" t="s">
        <v>14</v>
      </c>
      <c r="G912">
        <v>5749</v>
      </c>
      <c r="H912">
        <v>6273</v>
      </c>
      <c r="I912">
        <v>3.05</v>
      </c>
      <c r="J912">
        <v>26</v>
      </c>
      <c r="M912">
        <f t="shared" ca="1" si="56"/>
        <v>472</v>
      </c>
      <c r="N912" s="3" t="str" cm="1">
        <f t="array" ref="N912">_xlfn.IFS(I912&gt;=3.5,"Excellent",I912&gt;=3,"Good",I912&gt;=2,"Average",I912&lt;2,"Poor")</f>
        <v>Good</v>
      </c>
      <c r="P912" t="str">
        <f t="shared" si="57"/>
        <v>True</v>
      </c>
      <c r="Q912">
        <f t="shared" si="58"/>
        <v>221000</v>
      </c>
      <c r="R912">
        <v>2024</v>
      </c>
      <c r="X912" t="str">
        <f t="shared" ca="1" si="59"/>
        <v/>
      </c>
    </row>
    <row r="913" spans="1:24" x14ac:dyDescent="0.25">
      <c r="A913" t="s">
        <v>1847</v>
      </c>
      <c r="B913" t="s">
        <v>1848</v>
      </c>
      <c r="C913" t="s">
        <v>28</v>
      </c>
      <c r="D913" t="s">
        <v>13</v>
      </c>
      <c r="E913" s="1">
        <v>45457</v>
      </c>
      <c r="F913" t="s">
        <v>14</v>
      </c>
      <c r="G913">
        <v>10732</v>
      </c>
      <c r="H913">
        <v>29</v>
      </c>
      <c r="I913">
        <v>3.03</v>
      </c>
      <c r="J913">
        <v>44</v>
      </c>
      <c r="M913">
        <f t="shared" ca="1" si="56"/>
        <v>392</v>
      </c>
      <c r="N913" s="3" t="str" cm="1">
        <f t="array" ref="N913">_xlfn.IFS(I913&gt;=3.5,"Excellent",I913&gt;=3,"Good",I913&gt;=2,"Average",I913&lt;2,"Poor")</f>
        <v>Good</v>
      </c>
      <c r="P913" t="str">
        <f t="shared" si="57"/>
        <v/>
      </c>
      <c r="Q913">
        <f t="shared" si="58"/>
        <v>221000</v>
      </c>
      <c r="R913">
        <v>2024</v>
      </c>
      <c r="X913" t="str">
        <f t="shared" ca="1" si="59"/>
        <v/>
      </c>
    </row>
    <row r="914" spans="1:24" x14ac:dyDescent="0.25">
      <c r="A914" t="s">
        <v>1849</v>
      </c>
      <c r="B914" t="s">
        <v>1850</v>
      </c>
      <c r="C914" t="s">
        <v>36</v>
      </c>
      <c r="D914" t="s">
        <v>13</v>
      </c>
      <c r="E914" s="1">
        <v>44753</v>
      </c>
      <c r="F914" t="s">
        <v>39</v>
      </c>
      <c r="G914">
        <v>5938</v>
      </c>
      <c r="H914">
        <v>8341</v>
      </c>
      <c r="I914">
        <v>2.99</v>
      </c>
      <c r="J914">
        <v>101</v>
      </c>
      <c r="M914" t="str">
        <f t="shared" ca="1" si="56"/>
        <v/>
      </c>
      <c r="N914" s="3" t="str" cm="1">
        <f t="array" ref="N914">_xlfn.IFS(I914&gt;=3.5,"Excellent",I914&gt;=3,"Good",I914&gt;=2,"Average",I914&lt;2,"Poor")</f>
        <v>Average</v>
      </c>
      <c r="P914" t="str">
        <f t="shared" si="57"/>
        <v>True</v>
      </c>
      <c r="Q914">
        <f t="shared" si="58"/>
        <v>221000</v>
      </c>
      <c r="R914">
        <v>2022</v>
      </c>
      <c r="X914" t="str">
        <f t="shared" ca="1" si="59"/>
        <v/>
      </c>
    </row>
    <row r="915" spans="1:24" x14ac:dyDescent="0.25">
      <c r="A915" t="s">
        <v>1851</v>
      </c>
      <c r="B915" t="s">
        <v>1852</v>
      </c>
      <c r="C915" t="s">
        <v>28</v>
      </c>
      <c r="D915" t="s">
        <v>31</v>
      </c>
      <c r="E915" s="1">
        <v>45302</v>
      </c>
      <c r="F915" t="s">
        <v>14</v>
      </c>
      <c r="G915">
        <v>3278</v>
      </c>
      <c r="H915">
        <v>1851</v>
      </c>
      <c r="I915">
        <v>3.37</v>
      </c>
      <c r="J915">
        <v>85</v>
      </c>
      <c r="M915">
        <f t="shared" ca="1" si="56"/>
        <v>547</v>
      </c>
      <c r="N915" s="3" t="str" cm="1">
        <f t="array" ref="N915">_xlfn.IFS(I915&gt;=3.5,"Excellent",I915&gt;=3,"Good",I915&gt;=2,"Average",I915&lt;2,"Poor")</f>
        <v>Good</v>
      </c>
      <c r="P915" t="str">
        <f t="shared" si="57"/>
        <v>True</v>
      </c>
      <c r="Q915">
        <f t="shared" si="58"/>
        <v>221000</v>
      </c>
      <c r="R915">
        <v>2024</v>
      </c>
      <c r="X915" t="str">
        <f t="shared" ca="1" si="59"/>
        <v/>
      </c>
    </row>
    <row r="916" spans="1:24" x14ac:dyDescent="0.25">
      <c r="A916" t="s">
        <v>1853</v>
      </c>
      <c r="B916" t="s">
        <v>1854</v>
      </c>
      <c r="C916" t="s">
        <v>57</v>
      </c>
      <c r="D916" t="s">
        <v>13</v>
      </c>
      <c r="E916" s="1">
        <v>45083</v>
      </c>
      <c r="F916" t="s">
        <v>14</v>
      </c>
      <c r="G916">
        <v>14845</v>
      </c>
      <c r="H916">
        <v>823</v>
      </c>
      <c r="I916">
        <v>3.11</v>
      </c>
      <c r="J916">
        <v>27</v>
      </c>
      <c r="M916">
        <f t="shared" ca="1" si="56"/>
        <v>766</v>
      </c>
      <c r="N916" s="3" t="str" cm="1">
        <f t="array" ref="N916">_xlfn.IFS(I916&gt;=3.5,"Excellent",I916&gt;=3,"Good",I916&gt;=2,"Average",I916&lt;2,"Poor")</f>
        <v>Good</v>
      </c>
      <c r="P916" t="str">
        <f t="shared" si="57"/>
        <v/>
      </c>
      <c r="Q916">
        <f t="shared" si="58"/>
        <v>221000</v>
      </c>
      <c r="R916">
        <v>2023</v>
      </c>
      <c r="X916" t="str">
        <f t="shared" ca="1" si="59"/>
        <v/>
      </c>
    </row>
    <row r="917" spans="1:24" x14ac:dyDescent="0.25">
      <c r="A917" t="s">
        <v>1855</v>
      </c>
      <c r="B917" t="s">
        <v>1856</v>
      </c>
      <c r="C917" t="s">
        <v>54</v>
      </c>
      <c r="D917" t="s">
        <v>31</v>
      </c>
      <c r="E917" s="1">
        <v>44646</v>
      </c>
      <c r="F917" t="s">
        <v>19</v>
      </c>
      <c r="G917">
        <v>11658</v>
      </c>
      <c r="H917">
        <v>2778</v>
      </c>
      <c r="I917">
        <v>3.52</v>
      </c>
      <c r="J917">
        <v>95</v>
      </c>
      <c r="M917" t="str">
        <f t="shared" ca="1" si="56"/>
        <v/>
      </c>
      <c r="N917" s="3" t="str" cm="1">
        <f t="array" ref="N917">_xlfn.IFS(I917&gt;=3.5,"Excellent",I917&gt;=3,"Good",I917&gt;=2,"Average",I917&lt;2,"Poor")</f>
        <v>Excellent</v>
      </c>
      <c r="P917" t="str">
        <f t="shared" si="57"/>
        <v/>
      </c>
      <c r="Q917">
        <f t="shared" si="58"/>
        <v>221000</v>
      </c>
      <c r="R917">
        <v>2022</v>
      </c>
      <c r="X917">
        <f t="shared" ca="1" si="59"/>
        <v>1203</v>
      </c>
    </row>
    <row r="918" spans="1:24" x14ac:dyDescent="0.25">
      <c r="A918" t="s">
        <v>1857</v>
      </c>
      <c r="B918" t="s">
        <v>1858</v>
      </c>
      <c r="C918" t="s">
        <v>12</v>
      </c>
      <c r="D918" t="s">
        <v>18</v>
      </c>
      <c r="E918" s="1">
        <v>45410</v>
      </c>
      <c r="F918" t="s">
        <v>19</v>
      </c>
      <c r="G918">
        <v>11979</v>
      </c>
      <c r="H918">
        <v>4170</v>
      </c>
      <c r="I918">
        <v>2.75</v>
      </c>
      <c r="J918">
        <v>22</v>
      </c>
      <c r="M918" t="str">
        <f t="shared" ca="1" si="56"/>
        <v/>
      </c>
      <c r="N918" s="3" t="str" cm="1">
        <f t="array" ref="N918">_xlfn.IFS(I918&gt;=3.5,"Excellent",I918&gt;=3,"Good",I918&gt;=2,"Average",I918&lt;2,"Poor")</f>
        <v>Average</v>
      </c>
      <c r="P918" t="str">
        <f t="shared" si="57"/>
        <v/>
      </c>
      <c r="Q918">
        <f t="shared" si="58"/>
        <v>221000</v>
      </c>
      <c r="R918">
        <v>2024</v>
      </c>
      <c r="X918">
        <f t="shared" ca="1" si="59"/>
        <v>439</v>
      </c>
    </row>
    <row r="919" spans="1:24" x14ac:dyDescent="0.25">
      <c r="A919" t="s">
        <v>1859</v>
      </c>
      <c r="B919" t="s">
        <v>1860</v>
      </c>
      <c r="C919" t="s">
        <v>22</v>
      </c>
      <c r="D919" t="s">
        <v>31</v>
      </c>
      <c r="E919" s="1">
        <v>44802</v>
      </c>
      <c r="F919" t="s">
        <v>14</v>
      </c>
      <c r="G919">
        <v>5650</v>
      </c>
      <c r="H919">
        <v>9181</v>
      </c>
      <c r="I919">
        <v>3.13</v>
      </c>
      <c r="J919">
        <v>18</v>
      </c>
      <c r="M919">
        <f t="shared" ca="1" si="56"/>
        <v>1047</v>
      </c>
      <c r="N919" s="3" t="str" cm="1">
        <f t="array" ref="N919">_xlfn.IFS(I919&gt;=3.5,"Excellent",I919&gt;=3,"Good",I919&gt;=2,"Average",I919&lt;2,"Poor")</f>
        <v>Good</v>
      </c>
      <c r="P919" t="str">
        <f t="shared" si="57"/>
        <v>True</v>
      </c>
      <c r="Q919">
        <f t="shared" si="58"/>
        <v>209021</v>
      </c>
      <c r="R919">
        <v>2022</v>
      </c>
      <c r="X919" t="str">
        <f t="shared" ca="1" si="59"/>
        <v/>
      </c>
    </row>
    <row r="920" spans="1:24" x14ac:dyDescent="0.25">
      <c r="A920" t="s">
        <v>1861</v>
      </c>
      <c r="B920" t="s">
        <v>1862</v>
      </c>
      <c r="C920" t="s">
        <v>25</v>
      </c>
      <c r="D920" t="s">
        <v>13</v>
      </c>
      <c r="E920" s="1">
        <v>45018</v>
      </c>
      <c r="F920" t="s">
        <v>39</v>
      </c>
      <c r="G920">
        <v>9224</v>
      </c>
      <c r="H920">
        <v>5014</v>
      </c>
      <c r="I920">
        <v>2.75</v>
      </c>
      <c r="J920">
        <v>79</v>
      </c>
      <c r="M920" t="str">
        <f t="shared" ca="1" si="56"/>
        <v/>
      </c>
      <c r="N920" s="3" t="str" cm="1">
        <f t="array" ref="N920">_xlfn.IFS(I920&gt;=3.5,"Excellent",I920&gt;=3,"Good",I920&gt;=2,"Average",I920&lt;2,"Poor")</f>
        <v>Average</v>
      </c>
      <c r="P920" t="str">
        <f t="shared" si="57"/>
        <v>True</v>
      </c>
      <c r="Q920">
        <f t="shared" si="58"/>
        <v>209021</v>
      </c>
      <c r="R920">
        <v>2023</v>
      </c>
      <c r="X920" t="str">
        <f t="shared" ca="1" si="59"/>
        <v/>
      </c>
    </row>
    <row r="921" spans="1:24" x14ac:dyDescent="0.25">
      <c r="A921" t="s">
        <v>1863</v>
      </c>
      <c r="B921" t="s">
        <v>1864</v>
      </c>
      <c r="C921" t="s">
        <v>17</v>
      </c>
      <c r="D921" t="s">
        <v>31</v>
      </c>
      <c r="E921" s="1">
        <v>45115</v>
      </c>
      <c r="F921" t="s">
        <v>19</v>
      </c>
      <c r="G921">
        <v>12893</v>
      </c>
      <c r="H921">
        <v>6823</v>
      </c>
      <c r="I921">
        <v>3.9</v>
      </c>
      <c r="J921">
        <v>62</v>
      </c>
      <c r="M921" t="str">
        <f t="shared" ca="1" si="56"/>
        <v/>
      </c>
      <c r="N921" s="3" t="str" cm="1">
        <f t="array" ref="N921">_xlfn.IFS(I921&gt;=3.5,"Excellent",I921&gt;=3,"Good",I921&gt;=2,"Average",I921&lt;2,"Poor")</f>
        <v>Excellent</v>
      </c>
      <c r="P921" t="str">
        <f t="shared" si="57"/>
        <v>True</v>
      </c>
      <c r="Q921">
        <f t="shared" si="58"/>
        <v>209021</v>
      </c>
      <c r="R921">
        <v>2023</v>
      </c>
      <c r="X921">
        <f t="shared" ca="1" si="59"/>
        <v>734</v>
      </c>
    </row>
    <row r="922" spans="1:24" x14ac:dyDescent="0.25">
      <c r="A922" t="s">
        <v>1865</v>
      </c>
      <c r="B922" t="s">
        <v>1866</v>
      </c>
      <c r="C922" t="s">
        <v>36</v>
      </c>
      <c r="D922" t="s">
        <v>13</v>
      </c>
      <c r="E922" s="1">
        <v>45246</v>
      </c>
      <c r="F922" t="s">
        <v>14</v>
      </c>
      <c r="G922">
        <v>10635</v>
      </c>
      <c r="H922">
        <v>7334</v>
      </c>
      <c r="I922">
        <v>2.12</v>
      </c>
      <c r="J922">
        <v>87</v>
      </c>
      <c r="M922">
        <f t="shared" ca="1" si="56"/>
        <v>603</v>
      </c>
      <c r="N922" s="3" t="str" cm="1">
        <f t="array" ref="N922">_xlfn.IFS(I922&gt;=3.5,"Excellent",I922&gt;=3,"Good",I922&gt;=2,"Average",I922&lt;2,"Poor")</f>
        <v>Average</v>
      </c>
      <c r="P922" t="str">
        <f t="shared" si="57"/>
        <v>True</v>
      </c>
      <c r="Q922">
        <f t="shared" si="58"/>
        <v>209021</v>
      </c>
      <c r="R922">
        <v>2023</v>
      </c>
      <c r="X922" t="str">
        <f t="shared" ca="1" si="59"/>
        <v/>
      </c>
    </row>
    <row r="923" spans="1:24" x14ac:dyDescent="0.25">
      <c r="A923" t="s">
        <v>1867</v>
      </c>
      <c r="B923" t="s">
        <v>1868</v>
      </c>
      <c r="C923" t="s">
        <v>12</v>
      </c>
      <c r="D923" t="s">
        <v>62</v>
      </c>
      <c r="E923" s="1">
        <v>44687</v>
      </c>
      <c r="F923" t="s">
        <v>19</v>
      </c>
      <c r="G923">
        <v>5161</v>
      </c>
      <c r="H923">
        <v>3191</v>
      </c>
      <c r="I923">
        <v>3.4</v>
      </c>
      <c r="J923">
        <v>18</v>
      </c>
      <c r="M923" t="str">
        <f t="shared" ca="1" si="56"/>
        <v/>
      </c>
      <c r="N923" s="3" t="str" cm="1">
        <f t="array" ref="N923">_xlfn.IFS(I923&gt;=3.5,"Excellent",I923&gt;=3,"Good",I923&gt;=2,"Average",I923&lt;2,"Poor")</f>
        <v>Good</v>
      </c>
      <c r="P923" t="str">
        <f t="shared" si="57"/>
        <v>True</v>
      </c>
      <c r="Q923">
        <f t="shared" si="58"/>
        <v>209021</v>
      </c>
      <c r="R923">
        <v>2022</v>
      </c>
      <c r="X923">
        <f t="shared" ca="1" si="59"/>
        <v>1162</v>
      </c>
    </row>
    <row r="924" spans="1:24" x14ac:dyDescent="0.25">
      <c r="A924" t="s">
        <v>1869</v>
      </c>
      <c r="B924" t="s">
        <v>1870</v>
      </c>
      <c r="C924" t="s">
        <v>22</v>
      </c>
      <c r="D924" t="s">
        <v>62</v>
      </c>
      <c r="E924" s="1">
        <v>45308</v>
      </c>
      <c r="F924" t="s">
        <v>19</v>
      </c>
      <c r="G924">
        <v>2310</v>
      </c>
      <c r="H924">
        <v>7992</v>
      </c>
      <c r="I924">
        <v>3.78</v>
      </c>
      <c r="J924">
        <v>84</v>
      </c>
      <c r="M924" t="str">
        <f t="shared" ca="1" si="56"/>
        <v/>
      </c>
      <c r="N924" s="3" t="str" cm="1">
        <f t="array" ref="N924">_xlfn.IFS(I924&gt;=3.5,"Excellent",I924&gt;=3,"Good",I924&gt;=2,"Average",I924&lt;2,"Poor")</f>
        <v>Excellent</v>
      </c>
      <c r="P924" t="str">
        <f t="shared" si="57"/>
        <v>True</v>
      </c>
      <c r="Q924">
        <f t="shared" si="58"/>
        <v>209021</v>
      </c>
      <c r="R924">
        <v>2024</v>
      </c>
      <c r="X924">
        <f t="shared" ca="1" si="59"/>
        <v>541</v>
      </c>
    </row>
    <row r="925" spans="1:24" x14ac:dyDescent="0.25">
      <c r="A925" t="s">
        <v>1871</v>
      </c>
      <c r="B925" t="s">
        <v>1872</v>
      </c>
      <c r="C925" t="s">
        <v>36</v>
      </c>
      <c r="D925" t="s">
        <v>18</v>
      </c>
      <c r="E925" s="1">
        <v>44902</v>
      </c>
      <c r="F925" t="s">
        <v>19</v>
      </c>
      <c r="G925">
        <v>14238</v>
      </c>
      <c r="H925">
        <v>3624</v>
      </c>
      <c r="I925">
        <v>2.0499999999999998</v>
      </c>
      <c r="J925">
        <v>111</v>
      </c>
      <c r="M925" t="str">
        <f t="shared" ca="1" si="56"/>
        <v/>
      </c>
      <c r="N925" s="3" t="str" cm="1">
        <f t="array" ref="N925">_xlfn.IFS(I925&gt;=3.5,"Excellent",I925&gt;=3,"Good",I925&gt;=2,"Average",I925&lt;2,"Poor")</f>
        <v>Average</v>
      </c>
      <c r="P925" t="str">
        <f t="shared" si="57"/>
        <v/>
      </c>
      <c r="Q925">
        <f t="shared" si="58"/>
        <v>209021</v>
      </c>
      <c r="R925">
        <v>2022</v>
      </c>
      <c r="X925">
        <f t="shared" ca="1" si="59"/>
        <v>947</v>
      </c>
    </row>
    <row r="926" spans="1:24" x14ac:dyDescent="0.25">
      <c r="A926" t="s">
        <v>1873</v>
      </c>
      <c r="B926" t="s">
        <v>1874</v>
      </c>
      <c r="C926" t="s">
        <v>22</v>
      </c>
      <c r="D926" t="s">
        <v>18</v>
      </c>
      <c r="E926" s="1">
        <v>44762</v>
      </c>
      <c r="F926" t="s">
        <v>14</v>
      </c>
      <c r="G926">
        <v>6256</v>
      </c>
      <c r="H926">
        <v>9774</v>
      </c>
      <c r="I926">
        <v>3.04</v>
      </c>
      <c r="J926">
        <v>92</v>
      </c>
      <c r="M926">
        <f t="shared" ca="1" si="56"/>
        <v>1087</v>
      </c>
      <c r="N926" s="3" t="str" cm="1">
        <f t="array" ref="N926">_xlfn.IFS(I926&gt;=3.5,"Excellent",I926&gt;=3,"Good",I926&gt;=2,"Average",I926&lt;2,"Poor")</f>
        <v>Good</v>
      </c>
      <c r="P926" t="str">
        <f t="shared" si="57"/>
        <v>True</v>
      </c>
      <c r="Q926">
        <f t="shared" si="58"/>
        <v>194783</v>
      </c>
      <c r="R926">
        <v>2022</v>
      </c>
      <c r="X926" t="str">
        <f t="shared" ca="1" si="59"/>
        <v/>
      </c>
    </row>
    <row r="927" spans="1:24" x14ac:dyDescent="0.25">
      <c r="A927" t="s">
        <v>1875</v>
      </c>
      <c r="B927" t="s">
        <v>1876</v>
      </c>
      <c r="C927" t="s">
        <v>36</v>
      </c>
      <c r="D927" t="s">
        <v>18</v>
      </c>
      <c r="E927" s="1">
        <v>44809</v>
      </c>
      <c r="F927" t="s">
        <v>39</v>
      </c>
      <c r="G927">
        <v>12707</v>
      </c>
      <c r="H927">
        <v>6931</v>
      </c>
      <c r="I927">
        <v>3.19</v>
      </c>
      <c r="J927">
        <v>46</v>
      </c>
      <c r="M927" t="str">
        <f t="shared" ca="1" si="56"/>
        <v/>
      </c>
      <c r="N927" s="3" t="str" cm="1">
        <f t="array" ref="N927">_xlfn.IFS(I927&gt;=3.5,"Excellent",I927&gt;=3,"Good",I927&gt;=2,"Average",I927&lt;2,"Poor")</f>
        <v>Good</v>
      </c>
      <c r="P927" t="str">
        <f t="shared" si="57"/>
        <v>True</v>
      </c>
      <c r="Q927">
        <f t="shared" si="58"/>
        <v>194783</v>
      </c>
      <c r="R927">
        <v>2022</v>
      </c>
      <c r="X927" t="str">
        <f t="shared" ca="1" si="59"/>
        <v/>
      </c>
    </row>
    <row r="928" spans="1:24" x14ac:dyDescent="0.25">
      <c r="A928" t="s">
        <v>1877</v>
      </c>
      <c r="B928" t="s">
        <v>1878</v>
      </c>
      <c r="C928" t="s">
        <v>28</v>
      </c>
      <c r="D928" t="s">
        <v>18</v>
      </c>
      <c r="E928" s="1">
        <v>44708</v>
      </c>
      <c r="F928" t="s">
        <v>14</v>
      </c>
      <c r="G928">
        <v>14485</v>
      </c>
      <c r="H928">
        <v>2925</v>
      </c>
      <c r="I928">
        <v>2.13</v>
      </c>
      <c r="J928">
        <v>15</v>
      </c>
      <c r="M928">
        <f t="shared" ca="1" si="56"/>
        <v>1141</v>
      </c>
      <c r="N928" s="3" t="str" cm="1">
        <f t="array" ref="N928">_xlfn.IFS(I928&gt;=3.5,"Excellent",I928&gt;=3,"Good",I928&gt;=2,"Average",I928&lt;2,"Poor")</f>
        <v>Average</v>
      </c>
      <c r="P928" t="str">
        <f t="shared" si="57"/>
        <v/>
      </c>
      <c r="Q928">
        <f t="shared" si="58"/>
        <v>194783</v>
      </c>
      <c r="R928">
        <v>2022</v>
      </c>
      <c r="X928" t="str">
        <f t="shared" ca="1" si="59"/>
        <v/>
      </c>
    </row>
    <row r="929" spans="1:24" x14ac:dyDescent="0.25">
      <c r="A929" t="s">
        <v>1879</v>
      </c>
      <c r="B929" t="s">
        <v>1880</v>
      </c>
      <c r="C929" t="s">
        <v>12</v>
      </c>
      <c r="D929" t="s">
        <v>13</v>
      </c>
      <c r="E929" s="1">
        <v>45183</v>
      </c>
      <c r="F929" t="s">
        <v>14</v>
      </c>
      <c r="G929">
        <v>6109</v>
      </c>
      <c r="H929">
        <v>1355</v>
      </c>
      <c r="I929">
        <v>3.41</v>
      </c>
      <c r="J929">
        <v>97</v>
      </c>
      <c r="M929">
        <f t="shared" ca="1" si="56"/>
        <v>666</v>
      </c>
      <c r="N929" s="3" t="str" cm="1">
        <f t="array" ref="N929">_xlfn.IFS(I929&gt;=3.5,"Excellent",I929&gt;=3,"Good",I929&gt;=2,"Average",I929&lt;2,"Poor")</f>
        <v>Good</v>
      </c>
      <c r="P929" t="str">
        <f t="shared" si="57"/>
        <v/>
      </c>
      <c r="Q929">
        <f t="shared" si="58"/>
        <v>194783</v>
      </c>
      <c r="R929">
        <v>2023</v>
      </c>
      <c r="X929" t="str">
        <f t="shared" ca="1" si="59"/>
        <v/>
      </c>
    </row>
    <row r="930" spans="1:24" x14ac:dyDescent="0.25">
      <c r="A930" t="s">
        <v>1881</v>
      </c>
      <c r="B930" t="s">
        <v>1882</v>
      </c>
      <c r="C930" t="s">
        <v>36</v>
      </c>
      <c r="D930" t="s">
        <v>18</v>
      </c>
      <c r="E930" s="1">
        <v>45345</v>
      </c>
      <c r="F930" t="s">
        <v>39</v>
      </c>
      <c r="G930">
        <v>12380</v>
      </c>
      <c r="H930">
        <v>7327</v>
      </c>
      <c r="I930">
        <v>2.54</v>
      </c>
      <c r="J930">
        <v>72</v>
      </c>
      <c r="M930" t="str">
        <f t="shared" ca="1" si="56"/>
        <v/>
      </c>
      <c r="N930" s="3" t="str" cm="1">
        <f t="array" ref="N930">_xlfn.IFS(I930&gt;=3.5,"Excellent",I930&gt;=3,"Good",I930&gt;=2,"Average",I930&lt;2,"Poor")</f>
        <v>Average</v>
      </c>
      <c r="P930" t="str">
        <f t="shared" si="57"/>
        <v>True</v>
      </c>
      <c r="Q930">
        <f t="shared" si="58"/>
        <v>194783</v>
      </c>
      <c r="R930">
        <v>2024</v>
      </c>
      <c r="X930" t="str">
        <f t="shared" ca="1" si="59"/>
        <v/>
      </c>
    </row>
    <row r="931" spans="1:24" x14ac:dyDescent="0.25">
      <c r="A931" t="s">
        <v>1883</v>
      </c>
      <c r="B931" t="s">
        <v>1884</v>
      </c>
      <c r="C931" t="s">
        <v>36</v>
      </c>
      <c r="D931" t="s">
        <v>18</v>
      </c>
      <c r="E931" s="1">
        <v>44675</v>
      </c>
      <c r="F931" t="s">
        <v>19</v>
      </c>
      <c r="G931">
        <v>7050</v>
      </c>
      <c r="H931">
        <v>537</v>
      </c>
      <c r="I931">
        <v>2.84</v>
      </c>
      <c r="J931">
        <v>68</v>
      </c>
      <c r="M931" t="str">
        <f t="shared" ca="1" si="56"/>
        <v/>
      </c>
      <c r="N931" s="3" t="str" cm="1">
        <f t="array" ref="N931">_xlfn.IFS(I931&gt;=3.5,"Excellent",I931&gt;=3,"Good",I931&gt;=2,"Average",I931&lt;2,"Poor")</f>
        <v>Average</v>
      </c>
      <c r="P931" t="str">
        <f t="shared" si="57"/>
        <v/>
      </c>
      <c r="Q931">
        <f t="shared" si="58"/>
        <v>194783</v>
      </c>
      <c r="R931">
        <v>2022</v>
      </c>
      <c r="X931">
        <f t="shared" ca="1" si="59"/>
        <v>1174</v>
      </c>
    </row>
    <row r="932" spans="1:24" x14ac:dyDescent="0.25">
      <c r="A932" t="s">
        <v>1885</v>
      </c>
      <c r="B932" t="s">
        <v>1886</v>
      </c>
      <c r="C932" t="s">
        <v>22</v>
      </c>
      <c r="D932" t="s">
        <v>62</v>
      </c>
      <c r="E932" s="1">
        <v>44738</v>
      </c>
      <c r="F932" t="s">
        <v>19</v>
      </c>
      <c r="G932">
        <v>13686</v>
      </c>
      <c r="H932">
        <v>5137</v>
      </c>
      <c r="I932">
        <v>3.59</v>
      </c>
      <c r="J932">
        <v>75</v>
      </c>
      <c r="M932" t="str">
        <f t="shared" ca="1" si="56"/>
        <v/>
      </c>
      <c r="N932" s="3" t="str" cm="1">
        <f t="array" ref="N932">_xlfn.IFS(I932&gt;=3.5,"Excellent",I932&gt;=3,"Good",I932&gt;=2,"Average",I932&lt;2,"Poor")</f>
        <v>Excellent</v>
      </c>
      <c r="P932" t="str">
        <f t="shared" si="57"/>
        <v/>
      </c>
      <c r="Q932">
        <f t="shared" si="58"/>
        <v>187733</v>
      </c>
      <c r="R932">
        <v>2022</v>
      </c>
      <c r="X932">
        <f t="shared" ca="1" si="59"/>
        <v>1111</v>
      </c>
    </row>
    <row r="933" spans="1:24" x14ac:dyDescent="0.25">
      <c r="A933" t="s">
        <v>1887</v>
      </c>
      <c r="B933" t="s">
        <v>1888</v>
      </c>
      <c r="C933" t="s">
        <v>36</v>
      </c>
      <c r="D933" t="s">
        <v>13</v>
      </c>
      <c r="E933" s="1">
        <v>45400</v>
      </c>
      <c r="F933" t="s">
        <v>14</v>
      </c>
      <c r="G933">
        <v>3224</v>
      </c>
      <c r="H933">
        <v>6436</v>
      </c>
      <c r="I933">
        <v>3.96</v>
      </c>
      <c r="J933">
        <v>103</v>
      </c>
      <c r="M933">
        <f t="shared" ca="1" si="56"/>
        <v>449</v>
      </c>
      <c r="N933" s="3" t="str" cm="1">
        <f t="array" ref="N933">_xlfn.IFS(I933&gt;=3.5,"Excellent",I933&gt;=3,"Good",I933&gt;=2,"Average",I933&lt;2,"Poor")</f>
        <v>Excellent</v>
      </c>
      <c r="P933" t="str">
        <f t="shared" si="57"/>
        <v>True</v>
      </c>
      <c r="Q933">
        <f t="shared" si="58"/>
        <v>187733</v>
      </c>
      <c r="R933">
        <v>2024</v>
      </c>
      <c r="X933" t="str">
        <f t="shared" ca="1" si="59"/>
        <v/>
      </c>
    </row>
    <row r="934" spans="1:24" x14ac:dyDescent="0.25">
      <c r="A934" t="s">
        <v>1889</v>
      </c>
      <c r="B934" t="s">
        <v>1890</v>
      </c>
      <c r="C934" t="s">
        <v>36</v>
      </c>
      <c r="D934" t="s">
        <v>31</v>
      </c>
      <c r="E934" s="1">
        <v>44726</v>
      </c>
      <c r="F934" t="s">
        <v>14</v>
      </c>
      <c r="G934">
        <v>8505</v>
      </c>
      <c r="H934">
        <v>8006</v>
      </c>
      <c r="I934">
        <v>2.61</v>
      </c>
      <c r="J934">
        <v>10</v>
      </c>
      <c r="M934">
        <f t="shared" ca="1" si="56"/>
        <v>1123</v>
      </c>
      <c r="N934" s="3" t="str" cm="1">
        <f t="array" ref="N934">_xlfn.IFS(I934&gt;=3.5,"Excellent",I934&gt;=3,"Good",I934&gt;=2,"Average",I934&lt;2,"Poor")</f>
        <v>Average</v>
      </c>
      <c r="P934" t="str">
        <f t="shared" si="57"/>
        <v>True</v>
      </c>
      <c r="Q934">
        <f t="shared" si="58"/>
        <v>187733</v>
      </c>
      <c r="R934">
        <v>2022</v>
      </c>
      <c r="X934" t="str">
        <f t="shared" ca="1" si="59"/>
        <v/>
      </c>
    </row>
    <row r="935" spans="1:24" x14ac:dyDescent="0.25">
      <c r="A935" t="s">
        <v>1891</v>
      </c>
      <c r="B935" t="s">
        <v>1892</v>
      </c>
      <c r="C935" t="s">
        <v>12</v>
      </c>
      <c r="D935" t="s">
        <v>13</v>
      </c>
      <c r="E935" s="1">
        <v>44965</v>
      </c>
      <c r="F935" t="s">
        <v>19</v>
      </c>
      <c r="G935">
        <v>8846</v>
      </c>
      <c r="H935">
        <v>1192</v>
      </c>
      <c r="I935">
        <v>3.59</v>
      </c>
      <c r="J935">
        <v>36</v>
      </c>
      <c r="M935" t="str">
        <f t="shared" ca="1" si="56"/>
        <v/>
      </c>
      <c r="N935" s="3" t="str" cm="1">
        <f t="array" ref="N935">_xlfn.IFS(I935&gt;=3.5,"Excellent",I935&gt;=3,"Good",I935&gt;=2,"Average",I935&lt;2,"Poor")</f>
        <v>Excellent</v>
      </c>
      <c r="P935" t="str">
        <f t="shared" si="57"/>
        <v/>
      </c>
      <c r="Q935">
        <f t="shared" si="58"/>
        <v>187733</v>
      </c>
      <c r="R935">
        <v>2023</v>
      </c>
      <c r="X935">
        <f t="shared" ca="1" si="59"/>
        <v>884</v>
      </c>
    </row>
    <row r="936" spans="1:24" x14ac:dyDescent="0.25">
      <c r="A936" t="s">
        <v>1893</v>
      </c>
      <c r="B936" t="s">
        <v>1894</v>
      </c>
      <c r="C936" t="s">
        <v>25</v>
      </c>
      <c r="D936" t="s">
        <v>18</v>
      </c>
      <c r="E936" s="1">
        <v>45103</v>
      </c>
      <c r="F936" t="s">
        <v>14</v>
      </c>
      <c r="G936">
        <v>12177</v>
      </c>
      <c r="H936">
        <v>6105</v>
      </c>
      <c r="I936">
        <v>2.98</v>
      </c>
      <c r="J936">
        <v>55</v>
      </c>
      <c r="M936">
        <f t="shared" ca="1" si="56"/>
        <v>746</v>
      </c>
      <c r="N936" s="3" t="str" cm="1">
        <f t="array" ref="N936">_xlfn.IFS(I936&gt;=3.5,"Excellent",I936&gt;=3,"Good",I936&gt;=2,"Average",I936&lt;2,"Poor")</f>
        <v>Average</v>
      </c>
      <c r="P936" t="str">
        <f t="shared" si="57"/>
        <v>True</v>
      </c>
      <c r="Q936">
        <f t="shared" si="58"/>
        <v>187733</v>
      </c>
      <c r="R936">
        <v>2023</v>
      </c>
      <c r="X936" t="str">
        <f t="shared" ca="1" si="59"/>
        <v/>
      </c>
    </row>
    <row r="937" spans="1:24" x14ac:dyDescent="0.25">
      <c r="A937" t="s">
        <v>1895</v>
      </c>
      <c r="B937" t="s">
        <v>1896</v>
      </c>
      <c r="C937" t="s">
        <v>36</v>
      </c>
      <c r="D937" t="s">
        <v>18</v>
      </c>
      <c r="E937" s="1">
        <v>44814</v>
      </c>
      <c r="F937" t="s">
        <v>14</v>
      </c>
      <c r="G937">
        <v>2016</v>
      </c>
      <c r="H937">
        <v>2170</v>
      </c>
      <c r="I937">
        <v>3.56</v>
      </c>
      <c r="J937">
        <v>41</v>
      </c>
      <c r="M937">
        <f t="shared" ca="1" si="56"/>
        <v>1035</v>
      </c>
      <c r="N937" s="3" t="str" cm="1">
        <f t="array" ref="N937">_xlfn.IFS(I937&gt;=3.5,"Excellent",I937&gt;=3,"Good",I937&gt;=2,"Average",I937&lt;2,"Poor")</f>
        <v>Excellent</v>
      </c>
      <c r="P937" t="str">
        <f t="shared" si="57"/>
        <v>True</v>
      </c>
      <c r="Q937">
        <f t="shared" si="58"/>
        <v>187733</v>
      </c>
      <c r="R937">
        <v>2022</v>
      </c>
      <c r="X937" t="str">
        <f t="shared" ca="1" si="59"/>
        <v/>
      </c>
    </row>
    <row r="938" spans="1:24" x14ac:dyDescent="0.25">
      <c r="A938" t="s">
        <v>1897</v>
      </c>
      <c r="B938" t="s">
        <v>1898</v>
      </c>
      <c r="C938" t="s">
        <v>12</v>
      </c>
      <c r="D938" t="s">
        <v>62</v>
      </c>
      <c r="E938" s="1">
        <v>45026</v>
      </c>
      <c r="F938" t="s">
        <v>19</v>
      </c>
      <c r="G938">
        <v>11375</v>
      </c>
      <c r="H938">
        <v>6971</v>
      </c>
      <c r="I938">
        <v>3.52</v>
      </c>
      <c r="J938">
        <v>72</v>
      </c>
      <c r="M938" t="str">
        <f t="shared" ca="1" si="56"/>
        <v/>
      </c>
      <c r="N938" s="3" t="str" cm="1">
        <f t="array" ref="N938">_xlfn.IFS(I938&gt;=3.5,"Excellent",I938&gt;=3,"Good",I938&gt;=2,"Average",I938&lt;2,"Poor")</f>
        <v>Excellent</v>
      </c>
      <c r="P938" t="str">
        <f t="shared" si="57"/>
        <v>True</v>
      </c>
      <c r="Q938">
        <f t="shared" si="58"/>
        <v>187733</v>
      </c>
      <c r="R938">
        <v>2023</v>
      </c>
      <c r="X938">
        <f t="shared" ca="1" si="59"/>
        <v>823</v>
      </c>
    </row>
    <row r="939" spans="1:24" x14ac:dyDescent="0.25">
      <c r="A939" t="s">
        <v>1899</v>
      </c>
      <c r="B939" t="s">
        <v>1900</v>
      </c>
      <c r="C939" t="s">
        <v>25</v>
      </c>
      <c r="D939" t="s">
        <v>13</v>
      </c>
      <c r="E939" s="1">
        <v>45252</v>
      </c>
      <c r="F939" t="s">
        <v>14</v>
      </c>
      <c r="G939">
        <v>2240</v>
      </c>
      <c r="H939">
        <v>359</v>
      </c>
      <c r="I939">
        <v>3.9</v>
      </c>
      <c r="J939">
        <v>48</v>
      </c>
      <c r="M939">
        <f t="shared" ca="1" si="56"/>
        <v>597</v>
      </c>
      <c r="N939" s="3" t="str" cm="1">
        <f t="array" ref="N939">_xlfn.IFS(I939&gt;=3.5,"Excellent",I939&gt;=3,"Good",I939&gt;=2,"Average",I939&lt;2,"Poor")</f>
        <v>Excellent</v>
      </c>
      <c r="P939" t="str">
        <f t="shared" si="57"/>
        <v/>
      </c>
      <c r="Q939">
        <f t="shared" si="58"/>
        <v>187733</v>
      </c>
      <c r="R939">
        <v>2023</v>
      </c>
      <c r="X939" t="str">
        <f t="shared" ca="1" si="59"/>
        <v/>
      </c>
    </row>
    <row r="940" spans="1:24" x14ac:dyDescent="0.25">
      <c r="A940" t="s">
        <v>1901</v>
      </c>
      <c r="B940" t="s">
        <v>1902</v>
      </c>
      <c r="C940" t="s">
        <v>12</v>
      </c>
      <c r="D940" t="s">
        <v>31</v>
      </c>
      <c r="E940" s="1">
        <v>44738</v>
      </c>
      <c r="F940" t="s">
        <v>19</v>
      </c>
      <c r="G940">
        <v>6615</v>
      </c>
      <c r="H940">
        <v>6355</v>
      </c>
      <c r="I940">
        <v>3.2</v>
      </c>
      <c r="J940">
        <v>40</v>
      </c>
      <c r="M940" t="str">
        <f t="shared" ca="1" si="56"/>
        <v/>
      </c>
      <c r="N940" s="3" t="str" cm="1">
        <f t="array" ref="N940">_xlfn.IFS(I940&gt;=3.5,"Excellent",I940&gt;=3,"Good",I940&gt;=2,"Average",I940&lt;2,"Poor")</f>
        <v>Good</v>
      </c>
      <c r="P940" t="str">
        <f t="shared" si="57"/>
        <v>True</v>
      </c>
      <c r="Q940">
        <f t="shared" si="58"/>
        <v>187733</v>
      </c>
      <c r="R940">
        <v>2022</v>
      </c>
      <c r="X940">
        <f t="shared" ca="1" si="59"/>
        <v>1111</v>
      </c>
    </row>
    <row r="941" spans="1:24" x14ac:dyDescent="0.25">
      <c r="A941" t="s">
        <v>1903</v>
      </c>
      <c r="B941" t="s">
        <v>1904</v>
      </c>
      <c r="C941" t="s">
        <v>17</v>
      </c>
      <c r="D941" t="s">
        <v>62</v>
      </c>
      <c r="E941" s="1">
        <v>44887</v>
      </c>
      <c r="F941" t="s">
        <v>14</v>
      </c>
      <c r="G941">
        <v>10054</v>
      </c>
      <c r="H941">
        <v>4005</v>
      </c>
      <c r="I941">
        <v>3.66</v>
      </c>
      <c r="J941">
        <v>61</v>
      </c>
      <c r="M941">
        <f t="shared" ca="1" si="56"/>
        <v>962</v>
      </c>
      <c r="N941" s="3" t="str" cm="1">
        <f t="array" ref="N941">_xlfn.IFS(I941&gt;=3.5,"Excellent",I941&gt;=3,"Good",I941&gt;=2,"Average",I941&lt;2,"Poor")</f>
        <v>Excellent</v>
      </c>
      <c r="P941" t="str">
        <f t="shared" si="57"/>
        <v/>
      </c>
      <c r="Q941">
        <f t="shared" si="58"/>
        <v>187733</v>
      </c>
      <c r="R941">
        <v>2022</v>
      </c>
      <c r="X941" t="str">
        <f t="shared" ca="1" si="59"/>
        <v/>
      </c>
    </row>
    <row r="942" spans="1:24" x14ac:dyDescent="0.25">
      <c r="A942" t="s">
        <v>1905</v>
      </c>
      <c r="B942" t="s">
        <v>1906</v>
      </c>
      <c r="C942" t="s">
        <v>54</v>
      </c>
      <c r="D942" t="s">
        <v>18</v>
      </c>
      <c r="E942" s="1">
        <v>45240</v>
      </c>
      <c r="F942" t="s">
        <v>14</v>
      </c>
      <c r="G942">
        <v>10579</v>
      </c>
      <c r="H942">
        <v>4678</v>
      </c>
      <c r="I942">
        <v>3.15</v>
      </c>
      <c r="J942">
        <v>43</v>
      </c>
      <c r="M942">
        <f t="shared" ca="1" si="56"/>
        <v>609</v>
      </c>
      <c r="N942" s="3" t="str" cm="1">
        <f t="array" ref="N942">_xlfn.IFS(I942&gt;=3.5,"Excellent",I942&gt;=3,"Good",I942&gt;=2,"Average",I942&lt;2,"Poor")</f>
        <v>Good</v>
      </c>
      <c r="P942" t="str">
        <f t="shared" si="57"/>
        <v/>
      </c>
      <c r="Q942">
        <f t="shared" si="58"/>
        <v>187733</v>
      </c>
      <c r="R942">
        <v>2023</v>
      </c>
      <c r="X942" t="str">
        <f t="shared" ca="1" si="59"/>
        <v/>
      </c>
    </row>
    <row r="943" spans="1:24" x14ac:dyDescent="0.25">
      <c r="A943" t="s">
        <v>1907</v>
      </c>
      <c r="B943" t="s">
        <v>1908</v>
      </c>
      <c r="C943" t="s">
        <v>54</v>
      </c>
      <c r="D943" t="s">
        <v>13</v>
      </c>
      <c r="E943" s="1">
        <v>44996</v>
      </c>
      <c r="F943" t="s">
        <v>14</v>
      </c>
      <c r="G943">
        <v>2260</v>
      </c>
      <c r="H943">
        <v>2232</v>
      </c>
      <c r="I943">
        <v>2.94</v>
      </c>
      <c r="J943">
        <v>35</v>
      </c>
      <c r="M943">
        <f t="shared" ca="1" si="56"/>
        <v>853</v>
      </c>
      <c r="N943" s="3" t="str" cm="1">
        <f t="array" ref="N943">_xlfn.IFS(I943&gt;=3.5,"Excellent",I943&gt;=3,"Good",I943&gt;=2,"Average",I943&lt;2,"Poor")</f>
        <v>Average</v>
      </c>
      <c r="P943" t="str">
        <f t="shared" si="57"/>
        <v>True</v>
      </c>
      <c r="Q943">
        <f t="shared" si="58"/>
        <v>187733</v>
      </c>
      <c r="R943">
        <v>2023</v>
      </c>
      <c r="X943" t="str">
        <f t="shared" ca="1" si="59"/>
        <v/>
      </c>
    </row>
    <row r="944" spans="1:24" x14ac:dyDescent="0.25">
      <c r="A944" t="s">
        <v>1909</v>
      </c>
      <c r="B944" t="s">
        <v>1910</v>
      </c>
      <c r="C944" t="s">
        <v>54</v>
      </c>
      <c r="D944" t="s">
        <v>18</v>
      </c>
      <c r="E944" s="1">
        <v>45373</v>
      </c>
      <c r="F944" t="s">
        <v>19</v>
      </c>
      <c r="G944">
        <v>7638</v>
      </c>
      <c r="H944">
        <v>5209</v>
      </c>
      <c r="I944">
        <v>3.8</v>
      </c>
      <c r="J944">
        <v>21</v>
      </c>
      <c r="M944" t="str">
        <f t="shared" ca="1" si="56"/>
        <v/>
      </c>
      <c r="N944" s="3" t="str" cm="1">
        <f t="array" ref="N944">_xlfn.IFS(I944&gt;=3.5,"Excellent",I944&gt;=3,"Good",I944&gt;=2,"Average",I944&lt;2,"Poor")</f>
        <v>Excellent</v>
      </c>
      <c r="P944" t="str">
        <f t="shared" si="57"/>
        <v>True</v>
      </c>
      <c r="Q944">
        <f t="shared" si="58"/>
        <v>187733</v>
      </c>
      <c r="R944">
        <v>2024</v>
      </c>
      <c r="X944">
        <f t="shared" ca="1" si="59"/>
        <v>476</v>
      </c>
    </row>
    <row r="945" spans="1:24" x14ac:dyDescent="0.25">
      <c r="A945" t="s">
        <v>1911</v>
      </c>
      <c r="B945" t="s">
        <v>1912</v>
      </c>
      <c r="C945" t="s">
        <v>22</v>
      </c>
      <c r="D945" t="s">
        <v>62</v>
      </c>
      <c r="E945" s="1">
        <v>45258</v>
      </c>
      <c r="F945" t="s">
        <v>14</v>
      </c>
      <c r="G945">
        <v>3557</v>
      </c>
      <c r="H945">
        <v>2458</v>
      </c>
      <c r="I945">
        <v>2.95</v>
      </c>
      <c r="J945">
        <v>116</v>
      </c>
      <c r="M945">
        <f t="shared" ca="1" si="56"/>
        <v>591</v>
      </c>
      <c r="N945" s="3" t="str" cm="1">
        <f t="array" ref="N945">_xlfn.IFS(I945&gt;=3.5,"Excellent",I945&gt;=3,"Good",I945&gt;=2,"Average",I945&lt;2,"Poor")</f>
        <v>Average</v>
      </c>
      <c r="P945" t="str">
        <f t="shared" si="57"/>
        <v>True</v>
      </c>
      <c r="Q945">
        <f t="shared" si="58"/>
        <v>180095</v>
      </c>
      <c r="R945">
        <v>2023</v>
      </c>
      <c r="X945" t="str">
        <f t="shared" ca="1" si="59"/>
        <v/>
      </c>
    </row>
    <row r="946" spans="1:24" x14ac:dyDescent="0.25">
      <c r="A946" t="s">
        <v>1913</v>
      </c>
      <c r="B946" t="s">
        <v>1914</v>
      </c>
      <c r="C946" t="s">
        <v>28</v>
      </c>
      <c r="D946" t="s">
        <v>13</v>
      </c>
      <c r="E946" s="1">
        <v>44769</v>
      </c>
      <c r="F946" t="s">
        <v>14</v>
      </c>
      <c r="G946">
        <v>4417</v>
      </c>
      <c r="H946">
        <v>1293</v>
      </c>
      <c r="I946">
        <v>3.32</v>
      </c>
      <c r="J946">
        <v>92</v>
      </c>
      <c r="M946">
        <f t="shared" ca="1" si="56"/>
        <v>1080</v>
      </c>
      <c r="N946" s="3" t="str" cm="1">
        <f t="array" ref="N946">_xlfn.IFS(I946&gt;=3.5,"Excellent",I946&gt;=3,"Good",I946&gt;=2,"Average",I946&lt;2,"Poor")</f>
        <v>Good</v>
      </c>
      <c r="P946" t="str">
        <f t="shared" si="57"/>
        <v/>
      </c>
      <c r="Q946">
        <f t="shared" si="58"/>
        <v>180095</v>
      </c>
      <c r="R946">
        <v>2022</v>
      </c>
      <c r="X946" t="str">
        <f t="shared" ca="1" si="59"/>
        <v/>
      </c>
    </row>
    <row r="947" spans="1:24" x14ac:dyDescent="0.25">
      <c r="A947" t="s">
        <v>1915</v>
      </c>
      <c r="B947" t="s">
        <v>1916</v>
      </c>
      <c r="C947" t="s">
        <v>17</v>
      </c>
      <c r="D947" t="s">
        <v>18</v>
      </c>
      <c r="E947" s="1">
        <v>44760</v>
      </c>
      <c r="F947" t="s">
        <v>14</v>
      </c>
      <c r="G947">
        <v>12066</v>
      </c>
      <c r="H947">
        <v>8134</v>
      </c>
      <c r="I947">
        <v>3.63</v>
      </c>
      <c r="J947">
        <v>103</v>
      </c>
      <c r="M947">
        <f t="shared" ca="1" si="56"/>
        <v>1089</v>
      </c>
      <c r="N947" s="3" t="str" cm="1">
        <f t="array" ref="N947">_xlfn.IFS(I947&gt;=3.5,"Excellent",I947&gt;=3,"Good",I947&gt;=2,"Average",I947&lt;2,"Poor")</f>
        <v>Excellent</v>
      </c>
      <c r="P947" t="str">
        <f t="shared" si="57"/>
        <v>True</v>
      </c>
      <c r="Q947">
        <f t="shared" si="58"/>
        <v>180095</v>
      </c>
      <c r="R947">
        <v>2022</v>
      </c>
      <c r="X947" t="str">
        <f t="shared" ca="1" si="59"/>
        <v/>
      </c>
    </row>
    <row r="948" spans="1:24" x14ac:dyDescent="0.25">
      <c r="A948" t="s">
        <v>1917</v>
      </c>
      <c r="B948" t="s">
        <v>1918</v>
      </c>
      <c r="C948" t="s">
        <v>57</v>
      </c>
      <c r="D948" t="s">
        <v>31</v>
      </c>
      <c r="E948" s="1">
        <v>45315</v>
      </c>
      <c r="F948" t="s">
        <v>14</v>
      </c>
      <c r="G948">
        <v>2266</v>
      </c>
      <c r="H948">
        <v>3921</v>
      </c>
      <c r="I948">
        <v>3.84</v>
      </c>
      <c r="J948">
        <v>3</v>
      </c>
      <c r="M948">
        <f t="shared" ca="1" si="56"/>
        <v>534</v>
      </c>
      <c r="N948" s="3" t="str" cm="1">
        <f t="array" ref="N948">_xlfn.IFS(I948&gt;=3.5,"Excellent",I948&gt;=3,"Good",I948&gt;=2,"Average",I948&lt;2,"Poor")</f>
        <v>Excellent</v>
      </c>
      <c r="P948" t="str">
        <f t="shared" si="57"/>
        <v>True</v>
      </c>
      <c r="Q948">
        <f t="shared" si="58"/>
        <v>180095</v>
      </c>
      <c r="R948">
        <v>2024</v>
      </c>
      <c r="X948" t="str">
        <f t="shared" ca="1" si="59"/>
        <v/>
      </c>
    </row>
    <row r="949" spans="1:24" x14ac:dyDescent="0.25">
      <c r="A949" t="s">
        <v>1919</v>
      </c>
      <c r="B949" t="s">
        <v>1920</v>
      </c>
      <c r="C949" t="s">
        <v>36</v>
      </c>
      <c r="D949" t="s">
        <v>31</v>
      </c>
      <c r="E949" s="1">
        <v>45389</v>
      </c>
      <c r="F949" t="s">
        <v>14</v>
      </c>
      <c r="G949">
        <v>2363</v>
      </c>
      <c r="H949">
        <v>3593</v>
      </c>
      <c r="I949">
        <v>2.56</v>
      </c>
      <c r="J949">
        <v>119</v>
      </c>
      <c r="M949">
        <f t="shared" ca="1" si="56"/>
        <v>460</v>
      </c>
      <c r="N949" s="3" t="str" cm="1">
        <f t="array" ref="N949">_xlfn.IFS(I949&gt;=3.5,"Excellent",I949&gt;=3,"Good",I949&gt;=2,"Average",I949&lt;2,"Poor")</f>
        <v>Average</v>
      </c>
      <c r="P949" t="str">
        <f t="shared" si="57"/>
        <v>True</v>
      </c>
      <c r="Q949">
        <f t="shared" si="58"/>
        <v>180095</v>
      </c>
      <c r="R949">
        <v>2024</v>
      </c>
      <c r="X949" t="str">
        <f t="shared" ca="1" si="59"/>
        <v/>
      </c>
    </row>
    <row r="950" spans="1:24" x14ac:dyDescent="0.25">
      <c r="A950" t="s">
        <v>1921</v>
      </c>
      <c r="B950" t="s">
        <v>1922</v>
      </c>
      <c r="C950" t="s">
        <v>12</v>
      </c>
      <c r="D950" t="s">
        <v>18</v>
      </c>
      <c r="E950" s="1">
        <v>44678</v>
      </c>
      <c r="F950" t="s">
        <v>39</v>
      </c>
      <c r="G950">
        <v>2336</v>
      </c>
      <c r="H950">
        <v>7138</v>
      </c>
      <c r="I950">
        <v>3.58</v>
      </c>
      <c r="J950">
        <v>94</v>
      </c>
      <c r="M950" t="str">
        <f t="shared" ca="1" si="56"/>
        <v/>
      </c>
      <c r="N950" s="3" t="str" cm="1">
        <f t="array" ref="N950">_xlfn.IFS(I950&gt;=3.5,"Excellent",I950&gt;=3,"Good",I950&gt;=2,"Average",I950&lt;2,"Poor")</f>
        <v>Excellent</v>
      </c>
      <c r="P950" t="str">
        <f t="shared" si="57"/>
        <v>True</v>
      </c>
      <c r="Q950">
        <f t="shared" si="58"/>
        <v>180095</v>
      </c>
      <c r="R950">
        <v>2022</v>
      </c>
      <c r="X950" t="str">
        <f t="shared" ca="1" si="59"/>
        <v/>
      </c>
    </row>
    <row r="951" spans="1:24" x14ac:dyDescent="0.25">
      <c r="A951" t="s">
        <v>1923</v>
      </c>
      <c r="B951" t="s">
        <v>1924</v>
      </c>
      <c r="C951" t="s">
        <v>57</v>
      </c>
      <c r="D951" t="s">
        <v>31</v>
      </c>
      <c r="E951" s="1">
        <v>45006</v>
      </c>
      <c r="F951" t="s">
        <v>19</v>
      </c>
      <c r="G951">
        <v>14712</v>
      </c>
      <c r="H951">
        <v>9626</v>
      </c>
      <c r="I951">
        <v>2.92</v>
      </c>
      <c r="J951">
        <v>18</v>
      </c>
      <c r="M951" t="str">
        <f t="shared" ca="1" si="56"/>
        <v/>
      </c>
      <c r="N951" s="3" t="str" cm="1">
        <f t="array" ref="N951">_xlfn.IFS(I951&gt;=3.5,"Excellent",I951&gt;=3,"Good",I951&gt;=2,"Average",I951&lt;2,"Poor")</f>
        <v>Average</v>
      </c>
      <c r="P951" t="str">
        <f t="shared" si="57"/>
        <v>True</v>
      </c>
      <c r="Q951">
        <f t="shared" si="58"/>
        <v>180095</v>
      </c>
      <c r="R951">
        <v>2023</v>
      </c>
      <c r="X951">
        <f t="shared" ca="1" si="59"/>
        <v>843</v>
      </c>
    </row>
    <row r="952" spans="1:24" x14ac:dyDescent="0.25">
      <c r="A952" t="s">
        <v>1925</v>
      </c>
      <c r="B952" t="s">
        <v>1926</v>
      </c>
      <c r="C952" t="s">
        <v>12</v>
      </c>
      <c r="D952" t="s">
        <v>18</v>
      </c>
      <c r="E952" s="1">
        <v>44657</v>
      </c>
      <c r="F952" t="s">
        <v>19</v>
      </c>
      <c r="G952">
        <v>5822</v>
      </c>
      <c r="H952">
        <v>3156</v>
      </c>
      <c r="I952">
        <v>2.89</v>
      </c>
      <c r="J952">
        <v>53</v>
      </c>
      <c r="M952" t="str">
        <f t="shared" ca="1" si="56"/>
        <v/>
      </c>
      <c r="N952" s="3" t="str" cm="1">
        <f t="array" ref="N952">_xlfn.IFS(I952&gt;=3.5,"Excellent",I952&gt;=3,"Good",I952&gt;=2,"Average",I952&lt;2,"Poor")</f>
        <v>Average</v>
      </c>
      <c r="P952" t="str">
        <f t="shared" si="57"/>
        <v>True</v>
      </c>
      <c r="Q952">
        <f t="shared" si="58"/>
        <v>180095</v>
      </c>
      <c r="R952">
        <v>2022</v>
      </c>
      <c r="X952">
        <f t="shared" ca="1" si="59"/>
        <v>1192</v>
      </c>
    </row>
    <row r="953" spans="1:24" x14ac:dyDescent="0.25">
      <c r="A953" t="s">
        <v>1927</v>
      </c>
      <c r="B953" t="s">
        <v>1928</v>
      </c>
      <c r="C953" t="s">
        <v>22</v>
      </c>
      <c r="D953" t="s">
        <v>31</v>
      </c>
      <c r="E953" s="1">
        <v>45407</v>
      </c>
      <c r="F953" t="s">
        <v>19</v>
      </c>
      <c r="G953">
        <v>13010</v>
      </c>
      <c r="H953">
        <v>5677</v>
      </c>
      <c r="I953">
        <v>2.0299999999999998</v>
      </c>
      <c r="J953">
        <v>72</v>
      </c>
      <c r="M953" t="str">
        <f t="shared" ca="1" si="56"/>
        <v/>
      </c>
      <c r="N953" s="3" t="str" cm="1">
        <f t="array" ref="N953">_xlfn.IFS(I953&gt;=3.5,"Excellent",I953&gt;=3,"Good",I953&gt;=2,"Average",I953&lt;2,"Poor")</f>
        <v>Average</v>
      </c>
      <c r="P953" t="str">
        <f t="shared" si="57"/>
        <v/>
      </c>
      <c r="Q953">
        <f t="shared" si="58"/>
        <v>174273</v>
      </c>
      <c r="R953">
        <v>2024</v>
      </c>
      <c r="X953">
        <f t="shared" ca="1" si="59"/>
        <v>442</v>
      </c>
    </row>
    <row r="954" spans="1:24" x14ac:dyDescent="0.25">
      <c r="A954" t="s">
        <v>1929</v>
      </c>
      <c r="B954" t="s">
        <v>1930</v>
      </c>
      <c r="C954" t="s">
        <v>17</v>
      </c>
      <c r="D954" t="s">
        <v>13</v>
      </c>
      <c r="E954" s="1">
        <v>45414</v>
      </c>
      <c r="F954" t="s">
        <v>19</v>
      </c>
      <c r="G954">
        <v>6167</v>
      </c>
      <c r="H954">
        <v>6095</v>
      </c>
      <c r="I954">
        <v>2.99</v>
      </c>
      <c r="J954">
        <v>94</v>
      </c>
      <c r="M954" t="str">
        <f t="shared" ca="1" si="56"/>
        <v/>
      </c>
      <c r="N954" s="3" t="str" cm="1">
        <f t="array" ref="N954">_xlfn.IFS(I954&gt;=3.5,"Excellent",I954&gt;=3,"Good",I954&gt;=2,"Average",I954&lt;2,"Poor")</f>
        <v>Average</v>
      </c>
      <c r="P954" t="str">
        <f t="shared" si="57"/>
        <v>True</v>
      </c>
      <c r="Q954">
        <f t="shared" si="58"/>
        <v>174273</v>
      </c>
      <c r="R954">
        <v>2024</v>
      </c>
      <c r="X954">
        <f t="shared" ca="1" si="59"/>
        <v>435</v>
      </c>
    </row>
    <row r="955" spans="1:24" x14ac:dyDescent="0.25">
      <c r="A955" t="s">
        <v>1931</v>
      </c>
      <c r="B955" t="s">
        <v>1932</v>
      </c>
      <c r="C955" t="s">
        <v>57</v>
      </c>
      <c r="D955" t="s">
        <v>31</v>
      </c>
      <c r="E955" s="1">
        <v>44688</v>
      </c>
      <c r="F955" t="s">
        <v>19</v>
      </c>
      <c r="G955">
        <v>3815</v>
      </c>
      <c r="H955">
        <v>2083</v>
      </c>
      <c r="I955">
        <v>3.66</v>
      </c>
      <c r="J955">
        <v>92</v>
      </c>
      <c r="M955" t="str">
        <f t="shared" ca="1" si="56"/>
        <v/>
      </c>
      <c r="N955" s="3" t="str" cm="1">
        <f t="array" ref="N955">_xlfn.IFS(I955&gt;=3.5,"Excellent",I955&gt;=3,"Good",I955&gt;=2,"Average",I955&lt;2,"Poor")</f>
        <v>Excellent</v>
      </c>
      <c r="P955" t="str">
        <f t="shared" si="57"/>
        <v>True</v>
      </c>
      <c r="Q955">
        <f t="shared" si="58"/>
        <v>174273</v>
      </c>
      <c r="R955">
        <v>2022</v>
      </c>
      <c r="X955">
        <f t="shared" ca="1" si="59"/>
        <v>1161</v>
      </c>
    </row>
    <row r="956" spans="1:24" x14ac:dyDescent="0.25">
      <c r="A956" t="s">
        <v>1933</v>
      </c>
      <c r="B956" t="s">
        <v>1934</v>
      </c>
      <c r="C956" t="s">
        <v>12</v>
      </c>
      <c r="D956" t="s">
        <v>62</v>
      </c>
      <c r="E956" s="1">
        <v>44730</v>
      </c>
      <c r="F956" t="s">
        <v>19</v>
      </c>
      <c r="G956">
        <v>6719</v>
      </c>
      <c r="H956">
        <v>7812</v>
      </c>
      <c r="I956">
        <v>3.91</v>
      </c>
      <c r="J956">
        <v>116</v>
      </c>
      <c r="M956" t="str">
        <f t="shared" ca="1" si="56"/>
        <v/>
      </c>
      <c r="N956" s="3" t="str" cm="1">
        <f t="array" ref="N956">_xlfn.IFS(I956&gt;=3.5,"Excellent",I956&gt;=3,"Good",I956&gt;=2,"Average",I956&lt;2,"Poor")</f>
        <v>Excellent</v>
      </c>
      <c r="P956" t="str">
        <f t="shared" si="57"/>
        <v>True</v>
      </c>
      <c r="Q956">
        <f t="shared" si="58"/>
        <v>174273</v>
      </c>
      <c r="R956">
        <v>2022</v>
      </c>
      <c r="X956">
        <f t="shared" ca="1" si="59"/>
        <v>1119</v>
      </c>
    </row>
    <row r="957" spans="1:24" x14ac:dyDescent="0.25">
      <c r="A957" t="s">
        <v>1935</v>
      </c>
      <c r="B957" t="s">
        <v>1936</v>
      </c>
      <c r="C957" t="s">
        <v>25</v>
      </c>
      <c r="D957" t="s">
        <v>18</v>
      </c>
      <c r="E957" s="1">
        <v>45252</v>
      </c>
      <c r="F957" t="s">
        <v>14</v>
      </c>
      <c r="G957">
        <v>4490</v>
      </c>
      <c r="H957">
        <v>1702</v>
      </c>
      <c r="I957">
        <v>2.7</v>
      </c>
      <c r="J957">
        <v>94</v>
      </c>
      <c r="M957">
        <f t="shared" ca="1" si="56"/>
        <v>597</v>
      </c>
      <c r="N957" s="3" t="str" cm="1">
        <f t="array" ref="N957">_xlfn.IFS(I957&gt;=3.5,"Excellent",I957&gt;=3,"Good",I957&gt;=2,"Average",I957&lt;2,"Poor")</f>
        <v>Average</v>
      </c>
      <c r="P957" t="str">
        <f t="shared" si="57"/>
        <v/>
      </c>
      <c r="Q957">
        <f t="shared" si="58"/>
        <v>174273</v>
      </c>
      <c r="R957">
        <v>2023</v>
      </c>
      <c r="X957" t="str">
        <f t="shared" ca="1" si="59"/>
        <v/>
      </c>
    </row>
    <row r="958" spans="1:24" x14ac:dyDescent="0.25">
      <c r="A958" t="s">
        <v>1937</v>
      </c>
      <c r="B958" t="s">
        <v>1938</v>
      </c>
      <c r="C958" t="s">
        <v>17</v>
      </c>
      <c r="D958" t="s">
        <v>18</v>
      </c>
      <c r="E958" s="1">
        <v>45110</v>
      </c>
      <c r="F958" t="s">
        <v>19</v>
      </c>
      <c r="G958">
        <v>9668</v>
      </c>
      <c r="H958">
        <v>1839</v>
      </c>
      <c r="I958">
        <v>2.5099999999999998</v>
      </c>
      <c r="J958">
        <v>85</v>
      </c>
      <c r="M958" t="str">
        <f t="shared" ca="1" si="56"/>
        <v/>
      </c>
      <c r="N958" s="3" t="str" cm="1">
        <f t="array" ref="N958">_xlfn.IFS(I958&gt;=3.5,"Excellent",I958&gt;=3,"Good",I958&gt;=2,"Average",I958&lt;2,"Poor")</f>
        <v>Average</v>
      </c>
      <c r="P958" t="str">
        <f t="shared" si="57"/>
        <v/>
      </c>
      <c r="Q958">
        <f t="shared" si="58"/>
        <v>174273</v>
      </c>
      <c r="R958">
        <v>2023</v>
      </c>
      <c r="X958">
        <f t="shared" ca="1" si="59"/>
        <v>739</v>
      </c>
    </row>
    <row r="959" spans="1:24" x14ac:dyDescent="0.25">
      <c r="A959" t="s">
        <v>1939</v>
      </c>
      <c r="B959" t="s">
        <v>1940</v>
      </c>
      <c r="C959" t="s">
        <v>28</v>
      </c>
      <c r="D959" t="s">
        <v>13</v>
      </c>
      <c r="E959" s="1">
        <v>45216</v>
      </c>
      <c r="F959" t="s">
        <v>14</v>
      </c>
      <c r="G959">
        <v>2432</v>
      </c>
      <c r="H959">
        <v>5071</v>
      </c>
      <c r="I959">
        <v>3.8</v>
      </c>
      <c r="J959">
        <v>49</v>
      </c>
      <c r="M959">
        <f t="shared" ca="1" si="56"/>
        <v>633</v>
      </c>
      <c r="N959" s="3" t="str" cm="1">
        <f t="array" ref="N959">_xlfn.IFS(I959&gt;=3.5,"Excellent",I959&gt;=3,"Good",I959&gt;=2,"Average",I959&lt;2,"Poor")</f>
        <v>Excellent</v>
      </c>
      <c r="P959" t="str">
        <f t="shared" si="57"/>
        <v>True</v>
      </c>
      <c r="Q959">
        <f t="shared" si="58"/>
        <v>164605</v>
      </c>
      <c r="R959">
        <v>2023</v>
      </c>
      <c r="X959" t="str">
        <f t="shared" ca="1" si="59"/>
        <v/>
      </c>
    </row>
    <row r="960" spans="1:24" x14ac:dyDescent="0.25">
      <c r="A960" t="s">
        <v>1941</v>
      </c>
      <c r="B960" t="s">
        <v>1942</v>
      </c>
      <c r="C960" t="s">
        <v>25</v>
      </c>
      <c r="D960" t="s">
        <v>13</v>
      </c>
      <c r="E960" s="1">
        <v>44956</v>
      </c>
      <c r="F960" t="s">
        <v>14</v>
      </c>
      <c r="G960">
        <v>3242</v>
      </c>
      <c r="H960">
        <v>9900</v>
      </c>
      <c r="I960">
        <v>3.85</v>
      </c>
      <c r="J960">
        <v>83</v>
      </c>
      <c r="M960">
        <f t="shared" ca="1" si="56"/>
        <v>893</v>
      </c>
      <c r="N960" s="3" t="str" cm="1">
        <f t="array" ref="N960">_xlfn.IFS(I960&gt;=3.5,"Excellent",I960&gt;=3,"Good",I960&gt;=2,"Average",I960&lt;2,"Poor")</f>
        <v>Excellent</v>
      </c>
      <c r="P960" t="str">
        <f t="shared" si="57"/>
        <v>True</v>
      </c>
      <c r="Q960">
        <f t="shared" si="58"/>
        <v>164605</v>
      </c>
      <c r="R960">
        <v>2023</v>
      </c>
      <c r="X960" t="str">
        <f t="shared" ca="1" si="59"/>
        <v/>
      </c>
    </row>
    <row r="961" spans="1:24" x14ac:dyDescent="0.25">
      <c r="A961" t="s">
        <v>1943</v>
      </c>
      <c r="B961" t="s">
        <v>1944</v>
      </c>
      <c r="C961" t="s">
        <v>22</v>
      </c>
      <c r="D961" t="s">
        <v>62</v>
      </c>
      <c r="E961" s="1">
        <v>44818</v>
      </c>
      <c r="F961" t="s">
        <v>19</v>
      </c>
      <c r="G961">
        <v>14853</v>
      </c>
      <c r="H961">
        <v>6485</v>
      </c>
      <c r="I961">
        <v>3.3</v>
      </c>
      <c r="J961">
        <v>2</v>
      </c>
      <c r="M961" t="str">
        <f t="shared" ca="1" si="56"/>
        <v/>
      </c>
      <c r="N961" s="3" t="str" cm="1">
        <f t="array" ref="N961">_xlfn.IFS(I961&gt;=3.5,"Excellent",I961&gt;=3,"Good",I961&gt;=2,"Average",I961&lt;2,"Poor")</f>
        <v>Good</v>
      </c>
      <c r="P961" t="str">
        <f t="shared" si="57"/>
        <v/>
      </c>
      <c r="Q961">
        <f t="shared" si="58"/>
        <v>164605</v>
      </c>
      <c r="R961">
        <v>2022</v>
      </c>
      <c r="X961">
        <f t="shared" ca="1" si="59"/>
        <v>1031</v>
      </c>
    </row>
    <row r="962" spans="1:24" x14ac:dyDescent="0.25">
      <c r="A962" t="s">
        <v>1945</v>
      </c>
      <c r="B962" t="s">
        <v>1946</v>
      </c>
      <c r="C962" t="s">
        <v>22</v>
      </c>
      <c r="D962" t="s">
        <v>13</v>
      </c>
      <c r="E962" s="1">
        <v>45400</v>
      </c>
      <c r="F962" t="s">
        <v>14</v>
      </c>
      <c r="G962">
        <v>11497</v>
      </c>
      <c r="H962">
        <v>8841</v>
      </c>
      <c r="I962">
        <v>2.23</v>
      </c>
      <c r="J962">
        <v>50</v>
      </c>
      <c r="M962">
        <f t="shared" ca="1" si="56"/>
        <v>449</v>
      </c>
      <c r="N962" s="3" t="str" cm="1">
        <f t="array" ref="N962">_xlfn.IFS(I962&gt;=3.5,"Excellent",I962&gt;=3,"Good",I962&gt;=2,"Average",I962&lt;2,"Poor")</f>
        <v>Average</v>
      </c>
      <c r="P962" t="str">
        <f t="shared" si="57"/>
        <v>True</v>
      </c>
      <c r="Q962">
        <f t="shared" si="58"/>
        <v>164605</v>
      </c>
      <c r="R962">
        <v>2024</v>
      </c>
      <c r="X962" t="str">
        <f t="shared" ca="1" si="59"/>
        <v/>
      </c>
    </row>
    <row r="963" spans="1:24" x14ac:dyDescent="0.25">
      <c r="A963" t="s">
        <v>1947</v>
      </c>
      <c r="B963" t="s">
        <v>1948</v>
      </c>
      <c r="C963" t="s">
        <v>36</v>
      </c>
      <c r="D963" t="s">
        <v>18</v>
      </c>
      <c r="E963" s="1">
        <v>45237</v>
      </c>
      <c r="F963" t="s">
        <v>19</v>
      </c>
      <c r="G963">
        <v>2983</v>
      </c>
      <c r="H963">
        <v>8417</v>
      </c>
      <c r="I963">
        <v>2.6</v>
      </c>
      <c r="J963">
        <v>2</v>
      </c>
      <c r="M963" t="str">
        <f t="shared" ref="M963:M1026" ca="1" si="60">IF(F963="Enrolled",TODAY()-E963,"")</f>
        <v/>
      </c>
      <c r="N963" s="3" t="str" cm="1">
        <f t="array" ref="N963">_xlfn.IFS(I963&gt;=3.5,"Excellent",I963&gt;=3,"Good",I963&gt;=2,"Average",I963&lt;2,"Poor")</f>
        <v>Average</v>
      </c>
      <c r="P963" t="str">
        <f t="shared" ref="P963:P1026" si="61">IF(H963&gt;0.5*G963,"True","")</f>
        <v>True</v>
      </c>
      <c r="Q963">
        <f t="shared" ref="Q963:Q1026" si="62">SUMIFS(G963:G2162,F963:F2162,"Completed",D963:D2162,"Science")</f>
        <v>164605</v>
      </c>
      <c r="R963">
        <v>2023</v>
      </c>
      <c r="X963">
        <f t="shared" ref="X963:X1026" ca="1" si="63">IF(F963="Completed",TODAY()-E963,"")</f>
        <v>612</v>
      </c>
    </row>
    <row r="964" spans="1:24" x14ac:dyDescent="0.25">
      <c r="A964" t="s">
        <v>1949</v>
      </c>
      <c r="B964" t="s">
        <v>1950</v>
      </c>
      <c r="C964" t="s">
        <v>54</v>
      </c>
      <c r="D964" t="s">
        <v>18</v>
      </c>
      <c r="E964" s="1">
        <v>44783</v>
      </c>
      <c r="F964" t="s">
        <v>19</v>
      </c>
      <c r="G964">
        <v>2880</v>
      </c>
      <c r="H964">
        <v>2545</v>
      </c>
      <c r="I964">
        <v>2.57</v>
      </c>
      <c r="J964">
        <v>32</v>
      </c>
      <c r="M964" t="str">
        <f t="shared" ca="1" si="60"/>
        <v/>
      </c>
      <c r="N964" s="3" t="str" cm="1">
        <f t="array" ref="N964">_xlfn.IFS(I964&gt;=3.5,"Excellent",I964&gt;=3,"Good",I964&gt;=2,"Average",I964&lt;2,"Poor")</f>
        <v>Average</v>
      </c>
      <c r="P964" t="str">
        <f t="shared" si="61"/>
        <v>True</v>
      </c>
      <c r="Q964">
        <f t="shared" si="62"/>
        <v>161622</v>
      </c>
      <c r="R964">
        <v>2022</v>
      </c>
      <c r="X964">
        <f t="shared" ca="1" si="63"/>
        <v>1066</v>
      </c>
    </row>
    <row r="965" spans="1:24" x14ac:dyDescent="0.25">
      <c r="A965" t="s">
        <v>1951</v>
      </c>
      <c r="B965" t="s">
        <v>1952</v>
      </c>
      <c r="C965" t="s">
        <v>54</v>
      </c>
      <c r="D965" t="s">
        <v>18</v>
      </c>
      <c r="E965" s="1">
        <v>44659</v>
      </c>
      <c r="F965" t="s">
        <v>14</v>
      </c>
      <c r="G965">
        <v>6951</v>
      </c>
      <c r="H965">
        <v>321</v>
      </c>
      <c r="I965">
        <v>2.7</v>
      </c>
      <c r="J965">
        <v>61</v>
      </c>
      <c r="M965">
        <f t="shared" ca="1" si="60"/>
        <v>1190</v>
      </c>
      <c r="N965" s="3" t="str" cm="1">
        <f t="array" ref="N965">_xlfn.IFS(I965&gt;=3.5,"Excellent",I965&gt;=3,"Good",I965&gt;=2,"Average",I965&lt;2,"Poor")</f>
        <v>Average</v>
      </c>
      <c r="P965" t="str">
        <f t="shared" si="61"/>
        <v/>
      </c>
      <c r="Q965">
        <f t="shared" si="62"/>
        <v>158742</v>
      </c>
      <c r="R965">
        <v>2022</v>
      </c>
      <c r="X965" t="str">
        <f t="shared" ca="1" si="63"/>
        <v/>
      </c>
    </row>
    <row r="966" spans="1:24" x14ac:dyDescent="0.25">
      <c r="A966" t="s">
        <v>1953</v>
      </c>
      <c r="B966" t="s">
        <v>1954</v>
      </c>
      <c r="C966" t="s">
        <v>17</v>
      </c>
      <c r="D966" t="s">
        <v>18</v>
      </c>
      <c r="E966" s="1">
        <v>45109</v>
      </c>
      <c r="F966" t="s">
        <v>19</v>
      </c>
      <c r="G966">
        <v>8612</v>
      </c>
      <c r="H966">
        <v>1423</v>
      </c>
      <c r="I966">
        <v>3.76</v>
      </c>
      <c r="J966">
        <v>71</v>
      </c>
      <c r="M966" t="str">
        <f t="shared" ca="1" si="60"/>
        <v/>
      </c>
      <c r="N966" s="3" t="str" cm="1">
        <f t="array" ref="N966">_xlfn.IFS(I966&gt;=3.5,"Excellent",I966&gt;=3,"Good",I966&gt;=2,"Average",I966&lt;2,"Poor")</f>
        <v>Excellent</v>
      </c>
      <c r="P966" t="str">
        <f t="shared" si="61"/>
        <v/>
      </c>
      <c r="Q966">
        <f t="shared" si="62"/>
        <v>158742</v>
      </c>
      <c r="R966">
        <v>2023</v>
      </c>
      <c r="X966">
        <f t="shared" ca="1" si="63"/>
        <v>740</v>
      </c>
    </row>
    <row r="967" spans="1:24" x14ac:dyDescent="0.25">
      <c r="A967" t="s">
        <v>1955</v>
      </c>
      <c r="B967" t="s">
        <v>1956</v>
      </c>
      <c r="C967" t="s">
        <v>17</v>
      </c>
      <c r="D967" t="s">
        <v>62</v>
      </c>
      <c r="E967" s="1">
        <v>45309</v>
      </c>
      <c r="F967" t="s">
        <v>14</v>
      </c>
      <c r="G967">
        <v>8900</v>
      </c>
      <c r="H967">
        <v>4345</v>
      </c>
      <c r="I967">
        <v>3.25</v>
      </c>
      <c r="J967">
        <v>35</v>
      </c>
      <c r="M967">
        <f t="shared" ca="1" si="60"/>
        <v>540</v>
      </c>
      <c r="N967" s="3" t="str" cm="1">
        <f t="array" ref="N967">_xlfn.IFS(I967&gt;=3.5,"Excellent",I967&gt;=3,"Good",I967&gt;=2,"Average",I967&lt;2,"Poor")</f>
        <v>Good</v>
      </c>
      <c r="P967" t="str">
        <f t="shared" si="61"/>
        <v/>
      </c>
      <c r="Q967">
        <f t="shared" si="62"/>
        <v>150130</v>
      </c>
      <c r="R967">
        <v>2024</v>
      </c>
      <c r="X967" t="str">
        <f t="shared" ca="1" si="63"/>
        <v/>
      </c>
    </row>
    <row r="968" spans="1:24" x14ac:dyDescent="0.25">
      <c r="A968" t="s">
        <v>1957</v>
      </c>
      <c r="B968" t="s">
        <v>1958</v>
      </c>
      <c r="C968" t="s">
        <v>22</v>
      </c>
      <c r="D968" t="s">
        <v>31</v>
      </c>
      <c r="E968" s="1">
        <v>45379</v>
      </c>
      <c r="F968" t="s">
        <v>19</v>
      </c>
      <c r="G968">
        <v>10147</v>
      </c>
      <c r="H968">
        <v>592</v>
      </c>
      <c r="I968">
        <v>3.12</v>
      </c>
      <c r="J968">
        <v>72</v>
      </c>
      <c r="M968" t="str">
        <f t="shared" ca="1" si="60"/>
        <v/>
      </c>
      <c r="N968" s="3" t="str" cm="1">
        <f t="array" ref="N968">_xlfn.IFS(I968&gt;=3.5,"Excellent",I968&gt;=3,"Good",I968&gt;=2,"Average",I968&lt;2,"Poor")</f>
        <v>Good</v>
      </c>
      <c r="P968" t="str">
        <f t="shared" si="61"/>
        <v/>
      </c>
      <c r="Q968">
        <f t="shared" si="62"/>
        <v>150130</v>
      </c>
      <c r="R968">
        <v>2024</v>
      </c>
      <c r="X968">
        <f t="shared" ca="1" si="63"/>
        <v>470</v>
      </c>
    </row>
    <row r="969" spans="1:24" x14ac:dyDescent="0.25">
      <c r="A969" t="s">
        <v>1959</v>
      </c>
      <c r="B969" t="s">
        <v>1960</v>
      </c>
      <c r="C969" t="s">
        <v>57</v>
      </c>
      <c r="D969" t="s">
        <v>31</v>
      </c>
      <c r="E969" s="1">
        <v>44713</v>
      </c>
      <c r="F969" t="s">
        <v>14</v>
      </c>
      <c r="G969">
        <v>11524</v>
      </c>
      <c r="H969">
        <v>885</v>
      </c>
      <c r="I969">
        <v>3.48</v>
      </c>
      <c r="J969">
        <v>39</v>
      </c>
      <c r="M969">
        <f t="shared" ca="1" si="60"/>
        <v>1136</v>
      </c>
      <c r="N969" s="3" t="str" cm="1">
        <f t="array" ref="N969">_xlfn.IFS(I969&gt;=3.5,"Excellent",I969&gt;=3,"Good",I969&gt;=2,"Average",I969&lt;2,"Poor")</f>
        <v>Good</v>
      </c>
      <c r="P969" t="str">
        <f t="shared" si="61"/>
        <v/>
      </c>
      <c r="Q969">
        <f t="shared" si="62"/>
        <v>150130</v>
      </c>
      <c r="R969">
        <v>2022</v>
      </c>
      <c r="X969" t="str">
        <f t="shared" ca="1" si="63"/>
        <v/>
      </c>
    </row>
    <row r="970" spans="1:24" x14ac:dyDescent="0.25">
      <c r="A970" t="s">
        <v>1961</v>
      </c>
      <c r="B970" t="s">
        <v>1962</v>
      </c>
      <c r="C970" t="s">
        <v>57</v>
      </c>
      <c r="D970" t="s">
        <v>31</v>
      </c>
      <c r="E970" s="1">
        <v>44583</v>
      </c>
      <c r="F970" t="s">
        <v>14</v>
      </c>
      <c r="G970">
        <v>9115</v>
      </c>
      <c r="H970">
        <v>8808</v>
      </c>
      <c r="I970">
        <v>3.15</v>
      </c>
      <c r="J970">
        <v>57</v>
      </c>
      <c r="M970">
        <f t="shared" ca="1" si="60"/>
        <v>1266</v>
      </c>
      <c r="N970" s="3" t="str" cm="1">
        <f t="array" ref="N970">_xlfn.IFS(I970&gt;=3.5,"Excellent",I970&gt;=3,"Good",I970&gt;=2,"Average",I970&lt;2,"Poor")</f>
        <v>Good</v>
      </c>
      <c r="P970" t="str">
        <f t="shared" si="61"/>
        <v>True</v>
      </c>
      <c r="Q970">
        <f t="shared" si="62"/>
        <v>150130</v>
      </c>
      <c r="R970">
        <v>2022</v>
      </c>
      <c r="X970" t="str">
        <f t="shared" ca="1" si="63"/>
        <v/>
      </c>
    </row>
    <row r="971" spans="1:24" x14ac:dyDescent="0.25">
      <c r="A971" t="s">
        <v>1963</v>
      </c>
      <c r="B971" t="s">
        <v>1964</v>
      </c>
      <c r="C971" t="s">
        <v>54</v>
      </c>
      <c r="D971" t="s">
        <v>62</v>
      </c>
      <c r="E971" s="1">
        <v>44771</v>
      </c>
      <c r="F971" t="s">
        <v>14</v>
      </c>
      <c r="G971">
        <v>14396</v>
      </c>
      <c r="H971">
        <v>1245</v>
      </c>
      <c r="I971">
        <v>2.91</v>
      </c>
      <c r="J971">
        <v>89</v>
      </c>
      <c r="M971">
        <f t="shared" ca="1" si="60"/>
        <v>1078</v>
      </c>
      <c r="N971" s="3" t="str" cm="1">
        <f t="array" ref="N971">_xlfn.IFS(I971&gt;=3.5,"Excellent",I971&gt;=3,"Good",I971&gt;=2,"Average",I971&lt;2,"Poor")</f>
        <v>Average</v>
      </c>
      <c r="P971" t="str">
        <f t="shared" si="61"/>
        <v/>
      </c>
      <c r="Q971">
        <f t="shared" si="62"/>
        <v>150130</v>
      </c>
      <c r="R971">
        <v>2022</v>
      </c>
      <c r="X971" t="str">
        <f t="shared" ca="1" si="63"/>
        <v/>
      </c>
    </row>
    <row r="972" spans="1:24" x14ac:dyDescent="0.25">
      <c r="A972" t="s">
        <v>1965</v>
      </c>
      <c r="B972" t="s">
        <v>1966</v>
      </c>
      <c r="C972" t="s">
        <v>54</v>
      </c>
      <c r="D972" t="s">
        <v>31</v>
      </c>
      <c r="E972" s="1">
        <v>45077</v>
      </c>
      <c r="F972" t="s">
        <v>19</v>
      </c>
      <c r="G972">
        <v>8599</v>
      </c>
      <c r="H972">
        <v>3888</v>
      </c>
      <c r="I972">
        <v>2.88</v>
      </c>
      <c r="J972">
        <v>8</v>
      </c>
      <c r="M972" t="str">
        <f t="shared" ca="1" si="60"/>
        <v/>
      </c>
      <c r="N972" s="3" t="str" cm="1">
        <f t="array" ref="N972">_xlfn.IFS(I972&gt;=3.5,"Excellent",I972&gt;=3,"Good",I972&gt;=2,"Average",I972&lt;2,"Poor")</f>
        <v>Average</v>
      </c>
      <c r="P972" t="str">
        <f t="shared" si="61"/>
        <v/>
      </c>
      <c r="Q972">
        <f t="shared" si="62"/>
        <v>150130</v>
      </c>
      <c r="R972">
        <v>2023</v>
      </c>
      <c r="X972">
        <f t="shared" ca="1" si="63"/>
        <v>772</v>
      </c>
    </row>
    <row r="973" spans="1:24" x14ac:dyDescent="0.25">
      <c r="A973" t="s">
        <v>1967</v>
      </c>
      <c r="B973" t="s">
        <v>1968</v>
      </c>
      <c r="C973" t="s">
        <v>25</v>
      </c>
      <c r="D973" t="s">
        <v>18</v>
      </c>
      <c r="E973" s="1">
        <v>45353</v>
      </c>
      <c r="F973" t="s">
        <v>14</v>
      </c>
      <c r="G973">
        <v>14700</v>
      </c>
      <c r="H973">
        <v>4688</v>
      </c>
      <c r="I973">
        <v>3.69</v>
      </c>
      <c r="J973">
        <v>34</v>
      </c>
      <c r="M973">
        <f t="shared" ca="1" si="60"/>
        <v>496</v>
      </c>
      <c r="N973" s="3" t="str" cm="1">
        <f t="array" ref="N973">_xlfn.IFS(I973&gt;=3.5,"Excellent",I973&gt;=3,"Good",I973&gt;=2,"Average",I973&lt;2,"Poor")</f>
        <v>Excellent</v>
      </c>
      <c r="P973" t="str">
        <f t="shared" si="61"/>
        <v/>
      </c>
      <c r="Q973">
        <f t="shared" si="62"/>
        <v>150130</v>
      </c>
      <c r="R973">
        <v>2024</v>
      </c>
      <c r="X973" t="str">
        <f t="shared" ca="1" si="63"/>
        <v/>
      </c>
    </row>
    <row r="974" spans="1:24" x14ac:dyDescent="0.25">
      <c r="A974" t="s">
        <v>1969</v>
      </c>
      <c r="B974" t="s">
        <v>1970</v>
      </c>
      <c r="C974" t="s">
        <v>54</v>
      </c>
      <c r="D974" t="s">
        <v>31</v>
      </c>
      <c r="E974" s="1">
        <v>45385</v>
      </c>
      <c r="F974" t="s">
        <v>14</v>
      </c>
      <c r="G974">
        <v>9199</v>
      </c>
      <c r="H974">
        <v>9495</v>
      </c>
      <c r="I974">
        <v>3.04</v>
      </c>
      <c r="J974">
        <v>20</v>
      </c>
      <c r="M974">
        <f t="shared" ca="1" si="60"/>
        <v>464</v>
      </c>
      <c r="N974" s="3" t="str" cm="1">
        <f t="array" ref="N974">_xlfn.IFS(I974&gt;=3.5,"Excellent",I974&gt;=3,"Good",I974&gt;=2,"Average",I974&lt;2,"Poor")</f>
        <v>Good</v>
      </c>
      <c r="P974" t="str">
        <f t="shared" si="61"/>
        <v>True</v>
      </c>
      <c r="Q974">
        <f t="shared" si="62"/>
        <v>150130</v>
      </c>
      <c r="R974">
        <v>2024</v>
      </c>
      <c r="X974" t="str">
        <f t="shared" ca="1" si="63"/>
        <v/>
      </c>
    </row>
    <row r="975" spans="1:24" x14ac:dyDescent="0.25">
      <c r="A975" t="s">
        <v>1971</v>
      </c>
      <c r="B975" t="s">
        <v>1972</v>
      </c>
      <c r="C975" t="s">
        <v>36</v>
      </c>
      <c r="D975" t="s">
        <v>62</v>
      </c>
      <c r="E975" s="1">
        <v>45308</v>
      </c>
      <c r="F975" t="s">
        <v>39</v>
      </c>
      <c r="G975">
        <v>6798</v>
      </c>
      <c r="H975">
        <v>3454</v>
      </c>
      <c r="I975">
        <v>2.97</v>
      </c>
      <c r="J975">
        <v>28</v>
      </c>
      <c r="M975" t="str">
        <f t="shared" ca="1" si="60"/>
        <v/>
      </c>
      <c r="N975" s="3" t="str" cm="1">
        <f t="array" ref="N975">_xlfn.IFS(I975&gt;=3.5,"Excellent",I975&gt;=3,"Good",I975&gt;=2,"Average",I975&lt;2,"Poor")</f>
        <v>Average</v>
      </c>
      <c r="P975" t="str">
        <f t="shared" si="61"/>
        <v>True</v>
      </c>
      <c r="Q975">
        <f t="shared" si="62"/>
        <v>150130</v>
      </c>
      <c r="R975">
        <v>2024</v>
      </c>
      <c r="X975" t="str">
        <f t="shared" ca="1" si="63"/>
        <v/>
      </c>
    </row>
    <row r="976" spans="1:24" x14ac:dyDescent="0.25">
      <c r="A976" t="s">
        <v>1973</v>
      </c>
      <c r="B976" t="s">
        <v>1974</v>
      </c>
      <c r="C976" t="s">
        <v>57</v>
      </c>
      <c r="D976" t="s">
        <v>62</v>
      </c>
      <c r="E976" s="1">
        <v>44731</v>
      </c>
      <c r="F976" t="s">
        <v>14</v>
      </c>
      <c r="G976">
        <v>7093</v>
      </c>
      <c r="H976">
        <v>2651</v>
      </c>
      <c r="I976">
        <v>2.2999999999999998</v>
      </c>
      <c r="J976">
        <v>75</v>
      </c>
      <c r="M976">
        <f t="shared" ca="1" si="60"/>
        <v>1118</v>
      </c>
      <c r="N976" s="3" t="str" cm="1">
        <f t="array" ref="N976">_xlfn.IFS(I976&gt;=3.5,"Excellent",I976&gt;=3,"Good",I976&gt;=2,"Average",I976&lt;2,"Poor")</f>
        <v>Average</v>
      </c>
      <c r="P976" t="str">
        <f t="shared" si="61"/>
        <v/>
      </c>
      <c r="Q976">
        <f t="shared" si="62"/>
        <v>150130</v>
      </c>
      <c r="R976">
        <v>2022</v>
      </c>
      <c r="X976" t="str">
        <f t="shared" ca="1" si="63"/>
        <v/>
      </c>
    </row>
    <row r="977" spans="1:24" x14ac:dyDescent="0.25">
      <c r="A977" t="s">
        <v>1975</v>
      </c>
      <c r="B977" t="s">
        <v>1976</v>
      </c>
      <c r="C977" t="s">
        <v>54</v>
      </c>
      <c r="D977" t="s">
        <v>31</v>
      </c>
      <c r="E977" s="1">
        <v>45295</v>
      </c>
      <c r="F977" t="s">
        <v>19</v>
      </c>
      <c r="G977">
        <v>10111</v>
      </c>
      <c r="H977">
        <v>3264</v>
      </c>
      <c r="I977">
        <v>3.75</v>
      </c>
      <c r="J977">
        <v>97</v>
      </c>
      <c r="M977" t="str">
        <f t="shared" ca="1" si="60"/>
        <v/>
      </c>
      <c r="N977" s="3" t="str" cm="1">
        <f t="array" ref="N977">_xlfn.IFS(I977&gt;=3.5,"Excellent",I977&gt;=3,"Good",I977&gt;=2,"Average",I977&lt;2,"Poor")</f>
        <v>Excellent</v>
      </c>
      <c r="P977" t="str">
        <f t="shared" si="61"/>
        <v/>
      </c>
      <c r="Q977">
        <f t="shared" si="62"/>
        <v>150130</v>
      </c>
      <c r="R977">
        <v>2024</v>
      </c>
      <c r="X977">
        <f t="shared" ca="1" si="63"/>
        <v>554</v>
      </c>
    </row>
    <row r="978" spans="1:24" x14ac:dyDescent="0.25">
      <c r="A978" t="s">
        <v>1977</v>
      </c>
      <c r="B978" t="s">
        <v>1978</v>
      </c>
      <c r="C978" t="s">
        <v>54</v>
      </c>
      <c r="D978" t="s">
        <v>31</v>
      </c>
      <c r="E978" s="1">
        <v>45157</v>
      </c>
      <c r="F978" t="s">
        <v>14</v>
      </c>
      <c r="G978">
        <v>14720</v>
      </c>
      <c r="H978">
        <v>6666</v>
      </c>
      <c r="I978">
        <v>3.08</v>
      </c>
      <c r="J978">
        <v>2</v>
      </c>
      <c r="M978">
        <f t="shared" ca="1" si="60"/>
        <v>692</v>
      </c>
      <c r="N978" s="3" t="str" cm="1">
        <f t="array" ref="N978">_xlfn.IFS(I978&gt;=3.5,"Excellent",I978&gt;=3,"Good",I978&gt;=2,"Average",I978&lt;2,"Poor")</f>
        <v>Good</v>
      </c>
      <c r="P978" t="str">
        <f t="shared" si="61"/>
        <v/>
      </c>
      <c r="Q978">
        <f t="shared" si="62"/>
        <v>150130</v>
      </c>
      <c r="R978">
        <v>2023</v>
      </c>
      <c r="X978" t="str">
        <f t="shared" ca="1" si="63"/>
        <v/>
      </c>
    </row>
    <row r="979" spans="1:24" x14ac:dyDescent="0.25">
      <c r="A979" t="s">
        <v>1979</v>
      </c>
      <c r="B979" t="s">
        <v>1980</v>
      </c>
      <c r="C979" t="s">
        <v>25</v>
      </c>
      <c r="D979" t="s">
        <v>62</v>
      </c>
      <c r="E979" s="1">
        <v>45183</v>
      </c>
      <c r="F979" t="s">
        <v>19</v>
      </c>
      <c r="G979">
        <v>3574</v>
      </c>
      <c r="H979">
        <v>294</v>
      </c>
      <c r="I979">
        <v>2.4700000000000002</v>
      </c>
      <c r="J979">
        <v>107</v>
      </c>
      <c r="M979" t="str">
        <f t="shared" ca="1" si="60"/>
        <v/>
      </c>
      <c r="N979" s="3" t="str" cm="1">
        <f t="array" ref="N979">_xlfn.IFS(I979&gt;=3.5,"Excellent",I979&gt;=3,"Good",I979&gt;=2,"Average",I979&lt;2,"Poor")</f>
        <v>Average</v>
      </c>
      <c r="P979" t="str">
        <f t="shared" si="61"/>
        <v/>
      </c>
      <c r="Q979">
        <f t="shared" si="62"/>
        <v>150130</v>
      </c>
      <c r="R979">
        <v>2023</v>
      </c>
      <c r="X979">
        <f t="shared" ca="1" si="63"/>
        <v>666</v>
      </c>
    </row>
    <row r="980" spans="1:24" x14ac:dyDescent="0.25">
      <c r="A980" t="s">
        <v>1981</v>
      </c>
      <c r="B980" t="s">
        <v>1982</v>
      </c>
      <c r="C980" t="s">
        <v>17</v>
      </c>
      <c r="D980" t="s">
        <v>18</v>
      </c>
      <c r="E980" s="1">
        <v>44712</v>
      </c>
      <c r="F980" t="s">
        <v>14</v>
      </c>
      <c r="G980">
        <v>12664</v>
      </c>
      <c r="H980">
        <v>7109</v>
      </c>
      <c r="I980">
        <v>2.2000000000000002</v>
      </c>
      <c r="J980">
        <v>91</v>
      </c>
      <c r="M980">
        <f t="shared" ca="1" si="60"/>
        <v>1137</v>
      </c>
      <c r="N980" s="3" t="str" cm="1">
        <f t="array" ref="N980">_xlfn.IFS(I980&gt;=3.5,"Excellent",I980&gt;=3,"Good",I980&gt;=2,"Average",I980&lt;2,"Poor")</f>
        <v>Average</v>
      </c>
      <c r="P980" t="str">
        <f t="shared" si="61"/>
        <v>True</v>
      </c>
      <c r="Q980">
        <f t="shared" si="62"/>
        <v>150130</v>
      </c>
      <c r="R980">
        <v>2022</v>
      </c>
      <c r="X980" t="str">
        <f t="shared" ca="1" si="63"/>
        <v/>
      </c>
    </row>
    <row r="981" spans="1:24" x14ac:dyDescent="0.25">
      <c r="A981" t="s">
        <v>1983</v>
      </c>
      <c r="B981" t="s">
        <v>1984</v>
      </c>
      <c r="C981" t="s">
        <v>22</v>
      </c>
      <c r="D981" t="s">
        <v>18</v>
      </c>
      <c r="E981" s="1">
        <v>45398</v>
      </c>
      <c r="F981" t="s">
        <v>14</v>
      </c>
      <c r="G981">
        <v>9618</v>
      </c>
      <c r="H981">
        <v>6312</v>
      </c>
      <c r="I981">
        <v>2.25</v>
      </c>
      <c r="J981">
        <v>78</v>
      </c>
      <c r="M981">
        <f t="shared" ca="1" si="60"/>
        <v>451</v>
      </c>
      <c r="N981" s="3" t="str" cm="1">
        <f t="array" ref="N981">_xlfn.IFS(I981&gt;=3.5,"Excellent",I981&gt;=3,"Good",I981&gt;=2,"Average",I981&lt;2,"Poor")</f>
        <v>Average</v>
      </c>
      <c r="P981" t="str">
        <f t="shared" si="61"/>
        <v>True</v>
      </c>
      <c r="Q981">
        <f t="shared" si="62"/>
        <v>150130</v>
      </c>
      <c r="R981">
        <v>2024</v>
      </c>
      <c r="X981" t="str">
        <f t="shared" ca="1" si="63"/>
        <v/>
      </c>
    </row>
    <row r="982" spans="1:24" x14ac:dyDescent="0.25">
      <c r="A982" t="s">
        <v>1985</v>
      </c>
      <c r="B982" t="s">
        <v>1986</v>
      </c>
      <c r="C982" t="s">
        <v>36</v>
      </c>
      <c r="D982" t="s">
        <v>18</v>
      </c>
      <c r="E982" s="1">
        <v>45447</v>
      </c>
      <c r="F982" t="s">
        <v>19</v>
      </c>
      <c r="G982">
        <v>9706</v>
      </c>
      <c r="H982">
        <v>5288</v>
      </c>
      <c r="I982">
        <v>2.27</v>
      </c>
      <c r="J982">
        <v>6</v>
      </c>
      <c r="M982" t="str">
        <f t="shared" ca="1" si="60"/>
        <v/>
      </c>
      <c r="N982" s="3" t="str" cm="1">
        <f t="array" ref="N982">_xlfn.IFS(I982&gt;=3.5,"Excellent",I982&gt;=3,"Good",I982&gt;=2,"Average",I982&lt;2,"Poor")</f>
        <v>Average</v>
      </c>
      <c r="P982" t="str">
        <f t="shared" si="61"/>
        <v>True</v>
      </c>
      <c r="Q982">
        <f t="shared" si="62"/>
        <v>150130</v>
      </c>
      <c r="R982">
        <v>2024</v>
      </c>
      <c r="X982">
        <f t="shared" ca="1" si="63"/>
        <v>402</v>
      </c>
    </row>
    <row r="983" spans="1:24" x14ac:dyDescent="0.25">
      <c r="A983" t="s">
        <v>1987</v>
      </c>
      <c r="B983" t="s">
        <v>1988</v>
      </c>
      <c r="C983" t="s">
        <v>12</v>
      </c>
      <c r="D983" t="s">
        <v>62</v>
      </c>
      <c r="E983" s="1">
        <v>44585</v>
      </c>
      <c r="F983" t="s">
        <v>14</v>
      </c>
      <c r="G983">
        <v>8994</v>
      </c>
      <c r="H983">
        <v>9832</v>
      </c>
      <c r="I983">
        <v>2.46</v>
      </c>
      <c r="J983">
        <v>107</v>
      </c>
      <c r="M983">
        <f t="shared" ca="1" si="60"/>
        <v>1264</v>
      </c>
      <c r="N983" s="3" t="str" cm="1">
        <f t="array" ref="N983">_xlfn.IFS(I983&gt;=3.5,"Excellent",I983&gt;=3,"Good",I983&gt;=2,"Average",I983&lt;2,"Poor")</f>
        <v>Average</v>
      </c>
      <c r="P983" t="str">
        <f t="shared" si="61"/>
        <v>True</v>
      </c>
      <c r="Q983">
        <f t="shared" si="62"/>
        <v>140424</v>
      </c>
      <c r="R983">
        <v>2022</v>
      </c>
      <c r="X983" t="str">
        <f t="shared" ca="1" si="63"/>
        <v/>
      </c>
    </row>
    <row r="984" spans="1:24" x14ac:dyDescent="0.25">
      <c r="A984" t="s">
        <v>1989</v>
      </c>
      <c r="B984" t="s">
        <v>1990</v>
      </c>
      <c r="C984" t="s">
        <v>12</v>
      </c>
      <c r="D984" t="s">
        <v>31</v>
      </c>
      <c r="E984" s="1">
        <v>44880</v>
      </c>
      <c r="F984" t="s">
        <v>19</v>
      </c>
      <c r="G984">
        <v>6439</v>
      </c>
      <c r="H984">
        <v>6901</v>
      </c>
      <c r="I984">
        <v>3.1</v>
      </c>
      <c r="J984">
        <v>80</v>
      </c>
      <c r="M984" t="str">
        <f t="shared" ca="1" si="60"/>
        <v/>
      </c>
      <c r="N984" s="3" t="str" cm="1">
        <f t="array" ref="N984">_xlfn.IFS(I984&gt;=3.5,"Excellent",I984&gt;=3,"Good",I984&gt;=2,"Average",I984&lt;2,"Poor")</f>
        <v>Good</v>
      </c>
      <c r="P984" t="str">
        <f t="shared" si="61"/>
        <v>True</v>
      </c>
      <c r="Q984">
        <f t="shared" si="62"/>
        <v>140424</v>
      </c>
      <c r="R984">
        <v>2022</v>
      </c>
      <c r="X984">
        <f t="shared" ca="1" si="63"/>
        <v>969</v>
      </c>
    </row>
    <row r="985" spans="1:24" x14ac:dyDescent="0.25">
      <c r="A985" t="s">
        <v>1991</v>
      </c>
      <c r="B985" t="s">
        <v>1992</v>
      </c>
      <c r="C985" t="s">
        <v>22</v>
      </c>
      <c r="D985" t="s">
        <v>13</v>
      </c>
      <c r="E985" s="1">
        <v>45324</v>
      </c>
      <c r="F985" t="s">
        <v>14</v>
      </c>
      <c r="G985">
        <v>6534</v>
      </c>
      <c r="H985">
        <v>9500</v>
      </c>
      <c r="I985">
        <v>3.61</v>
      </c>
      <c r="J985">
        <v>111</v>
      </c>
      <c r="M985">
        <f t="shared" ca="1" si="60"/>
        <v>525</v>
      </c>
      <c r="N985" s="3" t="str" cm="1">
        <f t="array" ref="N985">_xlfn.IFS(I985&gt;=3.5,"Excellent",I985&gt;=3,"Good",I985&gt;=2,"Average",I985&lt;2,"Poor")</f>
        <v>Excellent</v>
      </c>
      <c r="P985" t="str">
        <f t="shared" si="61"/>
        <v>True</v>
      </c>
      <c r="Q985">
        <f t="shared" si="62"/>
        <v>140424</v>
      </c>
      <c r="R985">
        <v>2024</v>
      </c>
      <c r="X985" t="str">
        <f t="shared" ca="1" si="63"/>
        <v/>
      </c>
    </row>
    <row r="986" spans="1:24" x14ac:dyDescent="0.25">
      <c r="A986" t="s">
        <v>1993</v>
      </c>
      <c r="B986" t="s">
        <v>1994</v>
      </c>
      <c r="C986" t="s">
        <v>57</v>
      </c>
      <c r="D986" t="s">
        <v>13</v>
      </c>
      <c r="E986" s="1">
        <v>44806</v>
      </c>
      <c r="F986" t="s">
        <v>14</v>
      </c>
      <c r="G986">
        <v>7590</v>
      </c>
      <c r="H986">
        <v>408</v>
      </c>
      <c r="I986">
        <v>3.97</v>
      </c>
      <c r="J986">
        <v>46</v>
      </c>
      <c r="M986">
        <f t="shared" ca="1" si="60"/>
        <v>1043</v>
      </c>
      <c r="N986" s="3" t="str" cm="1">
        <f t="array" ref="N986">_xlfn.IFS(I986&gt;=3.5,"Excellent",I986&gt;=3,"Good",I986&gt;=2,"Average",I986&lt;2,"Poor")</f>
        <v>Excellent</v>
      </c>
      <c r="P986" t="str">
        <f t="shared" si="61"/>
        <v/>
      </c>
      <c r="Q986">
        <f t="shared" si="62"/>
        <v>140424</v>
      </c>
      <c r="R986">
        <v>2022</v>
      </c>
      <c r="X986" t="str">
        <f t="shared" ca="1" si="63"/>
        <v/>
      </c>
    </row>
    <row r="987" spans="1:24" x14ac:dyDescent="0.25">
      <c r="A987" t="s">
        <v>1995</v>
      </c>
      <c r="B987" t="s">
        <v>1996</v>
      </c>
      <c r="C987" t="s">
        <v>22</v>
      </c>
      <c r="D987" t="s">
        <v>31</v>
      </c>
      <c r="E987" s="1">
        <v>44880</v>
      </c>
      <c r="F987" t="s">
        <v>39</v>
      </c>
      <c r="G987">
        <v>7475</v>
      </c>
      <c r="H987">
        <v>7710</v>
      </c>
      <c r="I987">
        <v>2.4500000000000002</v>
      </c>
      <c r="J987">
        <v>62</v>
      </c>
      <c r="M987" t="str">
        <f t="shared" ca="1" si="60"/>
        <v/>
      </c>
      <c r="N987" s="3" t="str" cm="1">
        <f t="array" ref="N987">_xlfn.IFS(I987&gt;=3.5,"Excellent",I987&gt;=3,"Good",I987&gt;=2,"Average",I987&lt;2,"Poor")</f>
        <v>Average</v>
      </c>
      <c r="P987" t="str">
        <f t="shared" si="61"/>
        <v>True</v>
      </c>
      <c r="Q987">
        <f t="shared" si="62"/>
        <v>140424</v>
      </c>
      <c r="R987">
        <v>2022</v>
      </c>
      <c r="X987" t="str">
        <f t="shared" ca="1" si="63"/>
        <v/>
      </c>
    </row>
    <row r="988" spans="1:24" x14ac:dyDescent="0.25">
      <c r="A988" t="s">
        <v>1997</v>
      </c>
      <c r="B988" t="s">
        <v>1998</v>
      </c>
      <c r="C988" t="s">
        <v>12</v>
      </c>
      <c r="D988" t="s">
        <v>31</v>
      </c>
      <c r="E988" s="1">
        <v>45209</v>
      </c>
      <c r="F988" t="s">
        <v>14</v>
      </c>
      <c r="G988">
        <v>3693</v>
      </c>
      <c r="H988">
        <v>4367</v>
      </c>
      <c r="I988">
        <v>3.65</v>
      </c>
      <c r="J988">
        <v>28</v>
      </c>
      <c r="M988">
        <f t="shared" ca="1" si="60"/>
        <v>640</v>
      </c>
      <c r="N988" s="3" t="str" cm="1">
        <f t="array" ref="N988">_xlfn.IFS(I988&gt;=3.5,"Excellent",I988&gt;=3,"Good",I988&gt;=2,"Average",I988&lt;2,"Poor")</f>
        <v>Excellent</v>
      </c>
      <c r="P988" t="str">
        <f t="shared" si="61"/>
        <v>True</v>
      </c>
      <c r="Q988">
        <f t="shared" si="62"/>
        <v>140424</v>
      </c>
      <c r="R988">
        <v>2023</v>
      </c>
      <c r="X988" t="str">
        <f t="shared" ca="1" si="63"/>
        <v/>
      </c>
    </row>
    <row r="989" spans="1:24" x14ac:dyDescent="0.25">
      <c r="A989" t="s">
        <v>1999</v>
      </c>
      <c r="B989" t="s">
        <v>2000</v>
      </c>
      <c r="C989" t="s">
        <v>54</v>
      </c>
      <c r="D989" t="s">
        <v>31</v>
      </c>
      <c r="E989" s="1">
        <v>45398</v>
      </c>
      <c r="F989" t="s">
        <v>14</v>
      </c>
      <c r="G989">
        <v>11396</v>
      </c>
      <c r="H989">
        <v>8283</v>
      </c>
      <c r="I989">
        <v>2.2200000000000002</v>
      </c>
      <c r="J989">
        <v>98</v>
      </c>
      <c r="M989">
        <f t="shared" ca="1" si="60"/>
        <v>451</v>
      </c>
      <c r="N989" s="3" t="str" cm="1">
        <f t="array" ref="N989">_xlfn.IFS(I989&gt;=3.5,"Excellent",I989&gt;=3,"Good",I989&gt;=2,"Average",I989&lt;2,"Poor")</f>
        <v>Average</v>
      </c>
      <c r="P989" t="str">
        <f t="shared" si="61"/>
        <v>True</v>
      </c>
      <c r="Q989">
        <f t="shared" si="62"/>
        <v>140424</v>
      </c>
      <c r="R989">
        <v>2024</v>
      </c>
      <c r="X989" t="str">
        <f t="shared" ca="1" si="63"/>
        <v/>
      </c>
    </row>
    <row r="990" spans="1:24" x14ac:dyDescent="0.25">
      <c r="A990" t="s">
        <v>2001</v>
      </c>
      <c r="B990" t="s">
        <v>2002</v>
      </c>
      <c r="C990" t="s">
        <v>57</v>
      </c>
      <c r="D990" t="s">
        <v>13</v>
      </c>
      <c r="E990" s="1">
        <v>44921</v>
      </c>
      <c r="F990" t="s">
        <v>14</v>
      </c>
      <c r="G990">
        <v>8610</v>
      </c>
      <c r="H990">
        <v>2022</v>
      </c>
      <c r="I990">
        <v>3.47</v>
      </c>
      <c r="J990">
        <v>16</v>
      </c>
      <c r="M990">
        <f t="shared" ca="1" si="60"/>
        <v>928</v>
      </c>
      <c r="N990" s="3" t="str" cm="1">
        <f t="array" ref="N990">_xlfn.IFS(I990&gt;=3.5,"Excellent",I990&gt;=3,"Good",I990&gt;=2,"Average",I990&lt;2,"Poor")</f>
        <v>Good</v>
      </c>
      <c r="P990" t="str">
        <f t="shared" si="61"/>
        <v/>
      </c>
      <c r="Q990">
        <f t="shared" si="62"/>
        <v>140424</v>
      </c>
      <c r="R990">
        <v>2022</v>
      </c>
      <c r="X990" t="str">
        <f t="shared" ca="1" si="63"/>
        <v/>
      </c>
    </row>
    <row r="991" spans="1:24" x14ac:dyDescent="0.25">
      <c r="A991" t="s">
        <v>2003</v>
      </c>
      <c r="B991" t="s">
        <v>2004</v>
      </c>
      <c r="C991" t="s">
        <v>54</v>
      </c>
      <c r="D991" t="s">
        <v>13</v>
      </c>
      <c r="E991" s="1">
        <v>45209</v>
      </c>
      <c r="F991" t="s">
        <v>14</v>
      </c>
      <c r="G991">
        <v>3027</v>
      </c>
      <c r="H991">
        <v>8764</v>
      </c>
      <c r="I991">
        <v>3.34</v>
      </c>
      <c r="J991">
        <v>116</v>
      </c>
      <c r="M991">
        <f t="shared" ca="1" si="60"/>
        <v>640</v>
      </c>
      <c r="N991" s="3" t="str" cm="1">
        <f t="array" ref="N991">_xlfn.IFS(I991&gt;=3.5,"Excellent",I991&gt;=3,"Good",I991&gt;=2,"Average",I991&lt;2,"Poor")</f>
        <v>Good</v>
      </c>
      <c r="P991" t="str">
        <f t="shared" si="61"/>
        <v>True</v>
      </c>
      <c r="Q991">
        <f t="shared" si="62"/>
        <v>140424</v>
      </c>
      <c r="R991">
        <v>2023</v>
      </c>
      <c r="X991" t="str">
        <f t="shared" ca="1" si="63"/>
        <v/>
      </c>
    </row>
    <row r="992" spans="1:24" x14ac:dyDescent="0.25">
      <c r="A992" t="s">
        <v>2005</v>
      </c>
      <c r="B992" t="s">
        <v>2006</v>
      </c>
      <c r="C992" t="s">
        <v>28</v>
      </c>
      <c r="D992" t="s">
        <v>13</v>
      </c>
      <c r="E992" s="1">
        <v>45077</v>
      </c>
      <c r="F992" t="s">
        <v>14</v>
      </c>
      <c r="G992">
        <v>4944</v>
      </c>
      <c r="H992">
        <v>8402</v>
      </c>
      <c r="I992">
        <v>3.07</v>
      </c>
      <c r="J992">
        <v>79</v>
      </c>
      <c r="M992">
        <f t="shared" ca="1" si="60"/>
        <v>772</v>
      </c>
      <c r="N992" s="3" t="str" cm="1">
        <f t="array" ref="N992">_xlfn.IFS(I992&gt;=3.5,"Excellent",I992&gt;=3,"Good",I992&gt;=2,"Average",I992&lt;2,"Poor")</f>
        <v>Good</v>
      </c>
      <c r="P992" t="str">
        <f t="shared" si="61"/>
        <v>True</v>
      </c>
      <c r="Q992">
        <f t="shared" si="62"/>
        <v>140424</v>
      </c>
      <c r="R992">
        <v>2023</v>
      </c>
      <c r="X992" t="str">
        <f t="shared" ca="1" si="63"/>
        <v/>
      </c>
    </row>
    <row r="993" spans="1:24" x14ac:dyDescent="0.25">
      <c r="A993" t="s">
        <v>2007</v>
      </c>
      <c r="B993" t="s">
        <v>2008</v>
      </c>
      <c r="C993" t="s">
        <v>25</v>
      </c>
      <c r="D993" t="s">
        <v>18</v>
      </c>
      <c r="E993" s="1">
        <v>45358</v>
      </c>
      <c r="F993" t="s">
        <v>14</v>
      </c>
      <c r="G993">
        <v>9032</v>
      </c>
      <c r="H993">
        <v>7939</v>
      </c>
      <c r="I993">
        <v>2.56</v>
      </c>
      <c r="J993">
        <v>8</v>
      </c>
      <c r="M993">
        <f t="shared" ca="1" si="60"/>
        <v>491</v>
      </c>
      <c r="N993" s="3" t="str" cm="1">
        <f t="array" ref="N993">_xlfn.IFS(I993&gt;=3.5,"Excellent",I993&gt;=3,"Good",I993&gt;=2,"Average",I993&lt;2,"Poor")</f>
        <v>Average</v>
      </c>
      <c r="P993" t="str">
        <f t="shared" si="61"/>
        <v>True</v>
      </c>
      <c r="Q993">
        <f t="shared" si="62"/>
        <v>140424</v>
      </c>
      <c r="R993">
        <v>2024</v>
      </c>
      <c r="X993" t="str">
        <f t="shared" ca="1" si="63"/>
        <v/>
      </c>
    </row>
    <row r="994" spans="1:24" x14ac:dyDescent="0.25">
      <c r="A994" t="s">
        <v>2009</v>
      </c>
      <c r="B994" t="s">
        <v>2010</v>
      </c>
      <c r="C994" t="s">
        <v>25</v>
      </c>
      <c r="D994" t="s">
        <v>62</v>
      </c>
      <c r="E994" s="1">
        <v>45256</v>
      </c>
      <c r="F994" t="s">
        <v>14</v>
      </c>
      <c r="G994">
        <v>10427</v>
      </c>
      <c r="H994">
        <v>7298</v>
      </c>
      <c r="I994">
        <v>3.54</v>
      </c>
      <c r="J994">
        <v>119</v>
      </c>
      <c r="M994">
        <f t="shared" ca="1" si="60"/>
        <v>593</v>
      </c>
      <c r="N994" s="3" t="str" cm="1">
        <f t="array" ref="N994">_xlfn.IFS(I994&gt;=3.5,"Excellent",I994&gt;=3,"Good",I994&gt;=2,"Average",I994&lt;2,"Poor")</f>
        <v>Excellent</v>
      </c>
      <c r="P994" t="str">
        <f t="shared" si="61"/>
        <v>True</v>
      </c>
      <c r="Q994">
        <f t="shared" si="62"/>
        <v>140424</v>
      </c>
      <c r="R994">
        <v>2023</v>
      </c>
      <c r="X994" t="str">
        <f t="shared" ca="1" si="63"/>
        <v/>
      </c>
    </row>
    <row r="995" spans="1:24" x14ac:dyDescent="0.25">
      <c r="A995" t="s">
        <v>2011</v>
      </c>
      <c r="B995" t="s">
        <v>2012</v>
      </c>
      <c r="C995" t="s">
        <v>36</v>
      </c>
      <c r="D995" t="s">
        <v>31</v>
      </c>
      <c r="E995" s="1">
        <v>45391</v>
      </c>
      <c r="F995" t="s">
        <v>14</v>
      </c>
      <c r="G995">
        <v>6051</v>
      </c>
      <c r="H995">
        <v>7108</v>
      </c>
      <c r="I995">
        <v>3.2</v>
      </c>
      <c r="J995">
        <v>99</v>
      </c>
      <c r="M995">
        <f t="shared" ca="1" si="60"/>
        <v>458</v>
      </c>
      <c r="N995" s="3" t="str" cm="1">
        <f t="array" ref="N995">_xlfn.IFS(I995&gt;=3.5,"Excellent",I995&gt;=3,"Good",I995&gt;=2,"Average",I995&lt;2,"Poor")</f>
        <v>Good</v>
      </c>
      <c r="P995" t="str">
        <f t="shared" si="61"/>
        <v>True</v>
      </c>
      <c r="Q995">
        <f t="shared" si="62"/>
        <v>140424</v>
      </c>
      <c r="R995">
        <v>2024</v>
      </c>
      <c r="X995" t="str">
        <f t="shared" ca="1" si="63"/>
        <v/>
      </c>
    </row>
    <row r="996" spans="1:24" x14ac:dyDescent="0.25">
      <c r="A996" t="s">
        <v>2013</v>
      </c>
      <c r="B996" t="s">
        <v>2014</v>
      </c>
      <c r="C996" t="s">
        <v>12</v>
      </c>
      <c r="D996" t="s">
        <v>62</v>
      </c>
      <c r="E996" s="1">
        <v>45262</v>
      </c>
      <c r="F996" t="s">
        <v>14</v>
      </c>
      <c r="G996">
        <v>5499</v>
      </c>
      <c r="H996">
        <v>8616</v>
      </c>
      <c r="I996">
        <v>3.07</v>
      </c>
      <c r="J996">
        <v>23</v>
      </c>
      <c r="M996">
        <f t="shared" ca="1" si="60"/>
        <v>587</v>
      </c>
      <c r="N996" s="3" t="str" cm="1">
        <f t="array" ref="N996">_xlfn.IFS(I996&gt;=3.5,"Excellent",I996&gt;=3,"Good",I996&gt;=2,"Average",I996&lt;2,"Poor")</f>
        <v>Good</v>
      </c>
      <c r="P996" t="str">
        <f t="shared" si="61"/>
        <v>True</v>
      </c>
      <c r="Q996">
        <f t="shared" si="62"/>
        <v>140424</v>
      </c>
      <c r="R996">
        <v>2023</v>
      </c>
      <c r="X996" t="str">
        <f t="shared" ca="1" si="63"/>
        <v/>
      </c>
    </row>
    <row r="997" spans="1:24" x14ac:dyDescent="0.25">
      <c r="A997" t="s">
        <v>2015</v>
      </c>
      <c r="B997" t="s">
        <v>2016</v>
      </c>
      <c r="C997" t="s">
        <v>25</v>
      </c>
      <c r="D997" t="s">
        <v>13</v>
      </c>
      <c r="E997" s="1">
        <v>45301</v>
      </c>
      <c r="F997" t="s">
        <v>19</v>
      </c>
      <c r="G997">
        <v>5005</v>
      </c>
      <c r="H997">
        <v>9438</v>
      </c>
      <c r="I997">
        <v>3.13</v>
      </c>
      <c r="J997">
        <v>24</v>
      </c>
      <c r="M997" t="str">
        <f t="shared" ca="1" si="60"/>
        <v/>
      </c>
      <c r="N997" s="3" t="str" cm="1">
        <f t="array" ref="N997">_xlfn.IFS(I997&gt;=3.5,"Excellent",I997&gt;=3,"Good",I997&gt;=2,"Average",I997&lt;2,"Poor")</f>
        <v>Good</v>
      </c>
      <c r="P997" t="str">
        <f t="shared" si="61"/>
        <v>True</v>
      </c>
      <c r="Q997">
        <f t="shared" si="62"/>
        <v>140424</v>
      </c>
      <c r="R997">
        <v>2024</v>
      </c>
      <c r="X997">
        <f t="shared" ca="1" si="63"/>
        <v>548</v>
      </c>
    </row>
    <row r="998" spans="1:24" x14ac:dyDescent="0.25">
      <c r="A998" t="s">
        <v>2017</v>
      </c>
      <c r="B998" t="s">
        <v>2018</v>
      </c>
      <c r="C998" t="s">
        <v>54</v>
      </c>
      <c r="D998" t="s">
        <v>62</v>
      </c>
      <c r="E998" s="1">
        <v>44917</v>
      </c>
      <c r="F998" t="s">
        <v>14</v>
      </c>
      <c r="G998">
        <v>11045</v>
      </c>
      <c r="H998">
        <v>9251</v>
      </c>
      <c r="I998">
        <v>2.93</v>
      </c>
      <c r="J998">
        <v>87</v>
      </c>
      <c r="M998">
        <f t="shared" ca="1" si="60"/>
        <v>932</v>
      </c>
      <c r="N998" s="3" t="str" cm="1">
        <f t="array" ref="N998">_xlfn.IFS(I998&gt;=3.5,"Excellent",I998&gt;=3,"Good",I998&gt;=2,"Average",I998&lt;2,"Poor")</f>
        <v>Average</v>
      </c>
      <c r="P998" t="str">
        <f t="shared" si="61"/>
        <v>True</v>
      </c>
      <c r="Q998">
        <f t="shared" si="62"/>
        <v>140424</v>
      </c>
      <c r="R998">
        <v>2022</v>
      </c>
      <c r="X998" t="str">
        <f t="shared" ca="1" si="63"/>
        <v/>
      </c>
    </row>
    <row r="999" spans="1:24" x14ac:dyDescent="0.25">
      <c r="A999" t="s">
        <v>2019</v>
      </c>
      <c r="B999" t="s">
        <v>2020</v>
      </c>
      <c r="C999" t="s">
        <v>54</v>
      </c>
      <c r="D999" t="s">
        <v>18</v>
      </c>
      <c r="E999" s="1">
        <v>44601</v>
      </c>
      <c r="F999" t="s">
        <v>19</v>
      </c>
      <c r="G999">
        <v>12297</v>
      </c>
      <c r="H999">
        <v>4680</v>
      </c>
      <c r="I999">
        <v>2.02</v>
      </c>
      <c r="J999">
        <v>58</v>
      </c>
      <c r="M999" t="str">
        <f t="shared" ca="1" si="60"/>
        <v/>
      </c>
      <c r="N999" s="3" t="str" cm="1">
        <f t="array" ref="N999">_xlfn.IFS(I999&gt;=3.5,"Excellent",I999&gt;=3,"Good",I999&gt;=2,"Average",I999&lt;2,"Poor")</f>
        <v>Average</v>
      </c>
      <c r="P999" t="str">
        <f t="shared" si="61"/>
        <v/>
      </c>
      <c r="Q999">
        <f t="shared" si="62"/>
        <v>140424</v>
      </c>
      <c r="R999">
        <v>2022</v>
      </c>
      <c r="X999">
        <f t="shared" ca="1" si="63"/>
        <v>1248</v>
      </c>
    </row>
    <row r="1000" spans="1:24" x14ac:dyDescent="0.25">
      <c r="A1000" t="s">
        <v>2021</v>
      </c>
      <c r="B1000" t="s">
        <v>2022</v>
      </c>
      <c r="C1000" t="s">
        <v>17</v>
      </c>
      <c r="D1000" t="s">
        <v>18</v>
      </c>
      <c r="E1000" s="1">
        <v>44871</v>
      </c>
      <c r="F1000" t="s">
        <v>14</v>
      </c>
      <c r="G1000">
        <v>4317</v>
      </c>
      <c r="H1000">
        <v>1427</v>
      </c>
      <c r="I1000">
        <v>3.55</v>
      </c>
      <c r="J1000">
        <v>76</v>
      </c>
      <c r="M1000">
        <f t="shared" ca="1" si="60"/>
        <v>978</v>
      </c>
      <c r="N1000" s="3" t="str" cm="1">
        <f t="array" ref="N1000">_xlfn.IFS(I1000&gt;=3.5,"Excellent",I1000&gt;=3,"Good",I1000&gt;=2,"Average",I1000&lt;2,"Poor")</f>
        <v>Excellent</v>
      </c>
      <c r="P1000" t="str">
        <f t="shared" si="61"/>
        <v/>
      </c>
      <c r="Q1000">
        <f t="shared" si="62"/>
        <v>128127</v>
      </c>
      <c r="R1000">
        <v>2022</v>
      </c>
      <c r="X1000" t="str">
        <f t="shared" ca="1" si="63"/>
        <v/>
      </c>
    </row>
    <row r="1001" spans="1:24" x14ac:dyDescent="0.25">
      <c r="A1001" t="s">
        <v>2023</v>
      </c>
      <c r="B1001" t="s">
        <v>2024</v>
      </c>
      <c r="C1001" t="s">
        <v>12</v>
      </c>
      <c r="D1001" t="s">
        <v>62</v>
      </c>
      <c r="E1001" s="1">
        <v>44627</v>
      </c>
      <c r="F1001" t="s">
        <v>19</v>
      </c>
      <c r="G1001">
        <v>14569</v>
      </c>
      <c r="H1001">
        <v>9058</v>
      </c>
      <c r="I1001">
        <v>2.4</v>
      </c>
      <c r="J1001">
        <v>29</v>
      </c>
      <c r="M1001" t="str">
        <f t="shared" ca="1" si="60"/>
        <v/>
      </c>
      <c r="N1001" s="3" t="str" cm="1">
        <f t="array" ref="N1001">_xlfn.IFS(I1001&gt;=3.5,"Excellent",I1001&gt;=3,"Good",I1001&gt;=2,"Average",I1001&lt;2,"Poor")</f>
        <v>Average</v>
      </c>
      <c r="P1001" t="str">
        <f t="shared" si="61"/>
        <v>True</v>
      </c>
      <c r="Q1001">
        <f t="shared" si="62"/>
        <v>128127</v>
      </c>
      <c r="R1001">
        <v>2022</v>
      </c>
      <c r="X1001">
        <f t="shared" ca="1" si="63"/>
        <v>1222</v>
      </c>
    </row>
    <row r="1002" spans="1:24" x14ac:dyDescent="0.25">
      <c r="A1002" t="s">
        <v>2025</v>
      </c>
      <c r="B1002" t="s">
        <v>2026</v>
      </c>
      <c r="C1002" t="s">
        <v>22</v>
      </c>
      <c r="D1002" t="s">
        <v>13</v>
      </c>
      <c r="E1002" s="1">
        <v>44918</v>
      </c>
      <c r="F1002" t="s">
        <v>14</v>
      </c>
      <c r="G1002">
        <v>12134</v>
      </c>
      <c r="H1002">
        <v>3119</v>
      </c>
      <c r="I1002">
        <v>2.91</v>
      </c>
      <c r="J1002">
        <v>4</v>
      </c>
      <c r="M1002">
        <f t="shared" ca="1" si="60"/>
        <v>931</v>
      </c>
      <c r="N1002" s="3" t="str" cm="1">
        <f t="array" ref="N1002">_xlfn.IFS(I1002&gt;=3.5,"Excellent",I1002&gt;=3,"Good",I1002&gt;=2,"Average",I1002&lt;2,"Poor")</f>
        <v>Average</v>
      </c>
      <c r="P1002" t="str">
        <f t="shared" si="61"/>
        <v/>
      </c>
      <c r="Q1002">
        <f t="shared" si="62"/>
        <v>128127</v>
      </c>
      <c r="R1002">
        <v>2022</v>
      </c>
      <c r="X1002" t="str">
        <f t="shared" ca="1" si="63"/>
        <v/>
      </c>
    </row>
    <row r="1003" spans="1:24" x14ac:dyDescent="0.25">
      <c r="A1003" t="s">
        <v>2027</v>
      </c>
      <c r="B1003" t="s">
        <v>2028</v>
      </c>
      <c r="C1003" t="s">
        <v>25</v>
      </c>
      <c r="D1003" t="s">
        <v>62</v>
      </c>
      <c r="E1003" s="1">
        <v>44928</v>
      </c>
      <c r="F1003" t="s">
        <v>39</v>
      </c>
      <c r="G1003">
        <v>11342</v>
      </c>
      <c r="H1003">
        <v>152</v>
      </c>
      <c r="I1003">
        <v>3.13</v>
      </c>
      <c r="J1003">
        <v>0</v>
      </c>
      <c r="M1003" t="str">
        <f t="shared" ca="1" si="60"/>
        <v/>
      </c>
      <c r="N1003" s="3" t="str" cm="1">
        <f t="array" ref="N1003">_xlfn.IFS(I1003&gt;=3.5,"Excellent",I1003&gt;=3,"Good",I1003&gt;=2,"Average",I1003&lt;2,"Poor")</f>
        <v>Good</v>
      </c>
      <c r="P1003" t="str">
        <f t="shared" si="61"/>
        <v/>
      </c>
      <c r="Q1003">
        <f t="shared" si="62"/>
        <v>128127</v>
      </c>
      <c r="R1003">
        <v>2023</v>
      </c>
      <c r="X1003" t="str">
        <f t="shared" ca="1" si="63"/>
        <v/>
      </c>
    </row>
    <row r="1004" spans="1:24" x14ac:dyDescent="0.25">
      <c r="A1004" t="s">
        <v>2029</v>
      </c>
      <c r="B1004" t="s">
        <v>2030</v>
      </c>
      <c r="C1004" t="s">
        <v>28</v>
      </c>
      <c r="D1004" t="s">
        <v>13</v>
      </c>
      <c r="E1004" s="1">
        <v>44816</v>
      </c>
      <c r="F1004" t="s">
        <v>14</v>
      </c>
      <c r="G1004">
        <v>2607</v>
      </c>
      <c r="H1004">
        <v>2463</v>
      </c>
      <c r="I1004">
        <v>2.52</v>
      </c>
      <c r="J1004">
        <v>17</v>
      </c>
      <c r="M1004">
        <f t="shared" ca="1" si="60"/>
        <v>1033</v>
      </c>
      <c r="N1004" s="3" t="str" cm="1">
        <f t="array" ref="N1004">_xlfn.IFS(I1004&gt;=3.5,"Excellent",I1004&gt;=3,"Good",I1004&gt;=2,"Average",I1004&lt;2,"Poor")</f>
        <v>Average</v>
      </c>
      <c r="P1004" t="str">
        <f t="shared" si="61"/>
        <v>True</v>
      </c>
      <c r="Q1004">
        <f t="shared" si="62"/>
        <v>128127</v>
      </c>
      <c r="R1004">
        <v>2022</v>
      </c>
      <c r="X1004" t="str">
        <f t="shared" ca="1" si="63"/>
        <v/>
      </c>
    </row>
    <row r="1005" spans="1:24" x14ac:dyDescent="0.25">
      <c r="A1005" t="s">
        <v>2031</v>
      </c>
      <c r="B1005" t="s">
        <v>2032</v>
      </c>
      <c r="C1005" t="s">
        <v>17</v>
      </c>
      <c r="D1005" t="s">
        <v>13</v>
      </c>
      <c r="E1005" s="1">
        <v>45365</v>
      </c>
      <c r="F1005" t="s">
        <v>39</v>
      </c>
      <c r="G1005">
        <v>5479</v>
      </c>
      <c r="H1005">
        <v>9211</v>
      </c>
      <c r="I1005">
        <v>2.78</v>
      </c>
      <c r="J1005">
        <v>8</v>
      </c>
      <c r="M1005" t="str">
        <f t="shared" ca="1" si="60"/>
        <v/>
      </c>
      <c r="N1005" s="3" t="str" cm="1">
        <f t="array" ref="N1005">_xlfn.IFS(I1005&gt;=3.5,"Excellent",I1005&gt;=3,"Good",I1005&gt;=2,"Average",I1005&lt;2,"Poor")</f>
        <v>Average</v>
      </c>
      <c r="P1005" t="str">
        <f t="shared" si="61"/>
        <v>True</v>
      </c>
      <c r="Q1005">
        <f t="shared" si="62"/>
        <v>128127</v>
      </c>
      <c r="R1005">
        <v>2024</v>
      </c>
      <c r="X1005" t="str">
        <f t="shared" ca="1" si="63"/>
        <v/>
      </c>
    </row>
    <row r="1006" spans="1:24" x14ac:dyDescent="0.25">
      <c r="A1006" t="s">
        <v>2033</v>
      </c>
      <c r="B1006" t="s">
        <v>2034</v>
      </c>
      <c r="C1006" t="s">
        <v>57</v>
      </c>
      <c r="D1006" t="s">
        <v>13</v>
      </c>
      <c r="E1006" s="1">
        <v>44716</v>
      </c>
      <c r="F1006" t="s">
        <v>19</v>
      </c>
      <c r="G1006">
        <v>6615</v>
      </c>
      <c r="H1006">
        <v>1700</v>
      </c>
      <c r="I1006">
        <v>3.92</v>
      </c>
      <c r="J1006">
        <v>96</v>
      </c>
      <c r="M1006" t="str">
        <f t="shared" ca="1" si="60"/>
        <v/>
      </c>
      <c r="N1006" s="3" t="str" cm="1">
        <f t="array" ref="N1006">_xlfn.IFS(I1006&gt;=3.5,"Excellent",I1006&gt;=3,"Good",I1006&gt;=2,"Average",I1006&lt;2,"Poor")</f>
        <v>Excellent</v>
      </c>
      <c r="P1006" t="str">
        <f t="shared" si="61"/>
        <v/>
      </c>
      <c r="Q1006">
        <f t="shared" si="62"/>
        <v>128127</v>
      </c>
      <c r="R1006">
        <v>2022</v>
      </c>
      <c r="X1006">
        <f t="shared" ca="1" si="63"/>
        <v>1133</v>
      </c>
    </row>
    <row r="1007" spans="1:24" x14ac:dyDescent="0.25">
      <c r="A1007" t="s">
        <v>2035</v>
      </c>
      <c r="B1007" t="s">
        <v>2036</v>
      </c>
      <c r="C1007" t="s">
        <v>12</v>
      </c>
      <c r="D1007" t="s">
        <v>18</v>
      </c>
      <c r="E1007" s="1">
        <v>45164</v>
      </c>
      <c r="F1007" t="s">
        <v>14</v>
      </c>
      <c r="G1007">
        <v>4176</v>
      </c>
      <c r="H1007">
        <v>9643</v>
      </c>
      <c r="I1007">
        <v>3.3</v>
      </c>
      <c r="J1007">
        <v>12</v>
      </c>
      <c r="M1007">
        <f t="shared" ca="1" si="60"/>
        <v>685</v>
      </c>
      <c r="N1007" s="3" t="str" cm="1">
        <f t="array" ref="N1007">_xlfn.IFS(I1007&gt;=3.5,"Excellent",I1007&gt;=3,"Good",I1007&gt;=2,"Average",I1007&lt;2,"Poor")</f>
        <v>Good</v>
      </c>
      <c r="P1007" t="str">
        <f t="shared" si="61"/>
        <v>True</v>
      </c>
      <c r="Q1007">
        <f t="shared" si="62"/>
        <v>128127</v>
      </c>
      <c r="R1007">
        <v>2023</v>
      </c>
      <c r="X1007" t="str">
        <f t="shared" ca="1" si="63"/>
        <v/>
      </c>
    </row>
    <row r="1008" spans="1:24" x14ac:dyDescent="0.25">
      <c r="A1008" t="s">
        <v>2037</v>
      </c>
      <c r="B1008" t="s">
        <v>2038</v>
      </c>
      <c r="C1008" t="s">
        <v>36</v>
      </c>
      <c r="D1008" t="s">
        <v>18</v>
      </c>
      <c r="E1008" s="1">
        <v>45417</v>
      </c>
      <c r="F1008" t="s">
        <v>19</v>
      </c>
      <c r="G1008">
        <v>3536</v>
      </c>
      <c r="H1008">
        <v>5079</v>
      </c>
      <c r="I1008">
        <v>2.46</v>
      </c>
      <c r="J1008">
        <v>108</v>
      </c>
      <c r="M1008" t="str">
        <f t="shared" ca="1" si="60"/>
        <v/>
      </c>
      <c r="N1008" s="3" t="str" cm="1">
        <f t="array" ref="N1008">_xlfn.IFS(I1008&gt;=3.5,"Excellent",I1008&gt;=3,"Good",I1008&gt;=2,"Average",I1008&lt;2,"Poor")</f>
        <v>Average</v>
      </c>
      <c r="P1008" t="str">
        <f t="shared" si="61"/>
        <v>True</v>
      </c>
      <c r="Q1008">
        <f t="shared" si="62"/>
        <v>128127</v>
      </c>
      <c r="R1008">
        <v>2024</v>
      </c>
      <c r="X1008">
        <f t="shared" ca="1" si="63"/>
        <v>432</v>
      </c>
    </row>
    <row r="1009" spans="1:24" x14ac:dyDescent="0.25">
      <c r="A1009" t="s">
        <v>2039</v>
      </c>
      <c r="B1009" t="s">
        <v>2040</v>
      </c>
      <c r="C1009" t="s">
        <v>36</v>
      </c>
      <c r="D1009" t="s">
        <v>13</v>
      </c>
      <c r="E1009" s="1">
        <v>45285</v>
      </c>
      <c r="F1009" t="s">
        <v>14</v>
      </c>
      <c r="G1009">
        <v>9886</v>
      </c>
      <c r="H1009">
        <v>4015</v>
      </c>
      <c r="I1009">
        <v>2.63</v>
      </c>
      <c r="J1009">
        <v>80</v>
      </c>
      <c r="M1009">
        <f t="shared" ca="1" si="60"/>
        <v>564</v>
      </c>
      <c r="N1009" s="3" t="str" cm="1">
        <f t="array" ref="N1009">_xlfn.IFS(I1009&gt;=3.5,"Excellent",I1009&gt;=3,"Good",I1009&gt;=2,"Average",I1009&lt;2,"Poor")</f>
        <v>Average</v>
      </c>
      <c r="P1009" t="str">
        <f t="shared" si="61"/>
        <v/>
      </c>
      <c r="Q1009">
        <f t="shared" si="62"/>
        <v>124591</v>
      </c>
      <c r="R1009">
        <v>2023</v>
      </c>
      <c r="X1009" t="str">
        <f t="shared" ca="1" si="63"/>
        <v/>
      </c>
    </row>
    <row r="1010" spans="1:24" x14ac:dyDescent="0.25">
      <c r="A1010" t="s">
        <v>2041</v>
      </c>
      <c r="B1010" t="s">
        <v>2042</v>
      </c>
      <c r="C1010" t="s">
        <v>22</v>
      </c>
      <c r="D1010" t="s">
        <v>62</v>
      </c>
      <c r="E1010" s="1">
        <v>45281</v>
      </c>
      <c r="F1010" t="s">
        <v>39</v>
      </c>
      <c r="G1010">
        <v>6048</v>
      </c>
      <c r="H1010">
        <v>5071</v>
      </c>
      <c r="I1010">
        <v>3.78</v>
      </c>
      <c r="J1010">
        <v>84</v>
      </c>
      <c r="M1010" t="str">
        <f t="shared" ca="1" si="60"/>
        <v/>
      </c>
      <c r="N1010" s="3" t="str" cm="1">
        <f t="array" ref="N1010">_xlfn.IFS(I1010&gt;=3.5,"Excellent",I1010&gt;=3,"Good",I1010&gt;=2,"Average",I1010&lt;2,"Poor")</f>
        <v>Excellent</v>
      </c>
      <c r="P1010" t="str">
        <f t="shared" si="61"/>
        <v>True</v>
      </c>
      <c r="Q1010">
        <f t="shared" si="62"/>
        <v>124591</v>
      </c>
      <c r="R1010">
        <v>2023</v>
      </c>
      <c r="X1010" t="str">
        <f t="shared" ca="1" si="63"/>
        <v/>
      </c>
    </row>
    <row r="1011" spans="1:24" x14ac:dyDescent="0.25">
      <c r="A1011" t="s">
        <v>2043</v>
      </c>
      <c r="B1011" t="s">
        <v>2044</v>
      </c>
      <c r="C1011" t="s">
        <v>12</v>
      </c>
      <c r="D1011" t="s">
        <v>31</v>
      </c>
      <c r="E1011" s="1">
        <v>44579</v>
      </c>
      <c r="F1011" t="s">
        <v>39</v>
      </c>
      <c r="G1011">
        <v>4181</v>
      </c>
      <c r="H1011">
        <v>800</v>
      </c>
      <c r="I1011">
        <v>3.94</v>
      </c>
      <c r="J1011">
        <v>91</v>
      </c>
      <c r="M1011" t="str">
        <f t="shared" ca="1" si="60"/>
        <v/>
      </c>
      <c r="N1011" s="3" t="str" cm="1">
        <f t="array" ref="N1011">_xlfn.IFS(I1011&gt;=3.5,"Excellent",I1011&gt;=3,"Good",I1011&gt;=2,"Average",I1011&lt;2,"Poor")</f>
        <v>Excellent</v>
      </c>
      <c r="P1011" t="str">
        <f t="shared" si="61"/>
        <v/>
      </c>
      <c r="Q1011">
        <f t="shared" si="62"/>
        <v>124591</v>
      </c>
      <c r="R1011">
        <v>2022</v>
      </c>
      <c r="X1011" t="str">
        <f t="shared" ca="1" si="63"/>
        <v/>
      </c>
    </row>
    <row r="1012" spans="1:24" x14ac:dyDescent="0.25">
      <c r="A1012" t="s">
        <v>2045</v>
      </c>
      <c r="B1012" t="s">
        <v>2046</v>
      </c>
      <c r="C1012" t="s">
        <v>36</v>
      </c>
      <c r="D1012" t="s">
        <v>31</v>
      </c>
      <c r="E1012" s="1">
        <v>44693</v>
      </c>
      <c r="F1012" t="s">
        <v>14</v>
      </c>
      <c r="G1012">
        <v>7377</v>
      </c>
      <c r="H1012">
        <v>1185</v>
      </c>
      <c r="I1012">
        <v>2.25</v>
      </c>
      <c r="J1012">
        <v>96</v>
      </c>
      <c r="M1012">
        <f t="shared" ca="1" si="60"/>
        <v>1156</v>
      </c>
      <c r="N1012" s="3" t="str" cm="1">
        <f t="array" ref="N1012">_xlfn.IFS(I1012&gt;=3.5,"Excellent",I1012&gt;=3,"Good",I1012&gt;=2,"Average",I1012&lt;2,"Poor")</f>
        <v>Average</v>
      </c>
      <c r="P1012" t="str">
        <f t="shared" si="61"/>
        <v/>
      </c>
      <c r="Q1012">
        <f t="shared" si="62"/>
        <v>124591</v>
      </c>
      <c r="R1012">
        <v>2022</v>
      </c>
      <c r="X1012" t="str">
        <f t="shared" ca="1" si="63"/>
        <v/>
      </c>
    </row>
    <row r="1013" spans="1:24" x14ac:dyDescent="0.25">
      <c r="A1013" t="s">
        <v>2047</v>
      </c>
      <c r="B1013" t="s">
        <v>2048</v>
      </c>
      <c r="C1013" t="s">
        <v>22</v>
      </c>
      <c r="D1013" t="s">
        <v>18</v>
      </c>
      <c r="E1013" s="1">
        <v>44673</v>
      </c>
      <c r="F1013" t="s">
        <v>14</v>
      </c>
      <c r="G1013">
        <v>14234</v>
      </c>
      <c r="H1013">
        <v>2693</v>
      </c>
      <c r="I1013">
        <v>2.0299999999999998</v>
      </c>
      <c r="J1013">
        <v>34</v>
      </c>
      <c r="M1013">
        <f t="shared" ca="1" si="60"/>
        <v>1176</v>
      </c>
      <c r="N1013" s="3" t="str" cm="1">
        <f t="array" ref="N1013">_xlfn.IFS(I1013&gt;=3.5,"Excellent",I1013&gt;=3,"Good",I1013&gt;=2,"Average",I1013&lt;2,"Poor")</f>
        <v>Average</v>
      </c>
      <c r="P1013" t="str">
        <f t="shared" si="61"/>
        <v/>
      </c>
      <c r="Q1013">
        <f t="shared" si="62"/>
        <v>124591</v>
      </c>
      <c r="R1013">
        <v>2022</v>
      </c>
      <c r="X1013" t="str">
        <f t="shared" ca="1" si="63"/>
        <v/>
      </c>
    </row>
    <row r="1014" spans="1:24" x14ac:dyDescent="0.25">
      <c r="A1014" t="s">
        <v>2049</v>
      </c>
      <c r="B1014" t="s">
        <v>2050</v>
      </c>
      <c r="C1014" t="s">
        <v>36</v>
      </c>
      <c r="D1014" t="s">
        <v>13</v>
      </c>
      <c r="E1014" s="1">
        <v>45360</v>
      </c>
      <c r="F1014" t="s">
        <v>19</v>
      </c>
      <c r="G1014">
        <v>4357</v>
      </c>
      <c r="H1014">
        <v>8371</v>
      </c>
      <c r="I1014">
        <v>3.08</v>
      </c>
      <c r="J1014">
        <v>89</v>
      </c>
      <c r="M1014" t="str">
        <f t="shared" ca="1" si="60"/>
        <v/>
      </c>
      <c r="N1014" s="3" t="str" cm="1">
        <f t="array" ref="N1014">_xlfn.IFS(I1014&gt;=3.5,"Excellent",I1014&gt;=3,"Good",I1014&gt;=2,"Average",I1014&lt;2,"Poor")</f>
        <v>Good</v>
      </c>
      <c r="P1014" t="str">
        <f t="shared" si="61"/>
        <v>True</v>
      </c>
      <c r="Q1014">
        <f t="shared" si="62"/>
        <v>124591</v>
      </c>
      <c r="R1014">
        <v>2024</v>
      </c>
      <c r="X1014">
        <f t="shared" ca="1" si="63"/>
        <v>489</v>
      </c>
    </row>
    <row r="1015" spans="1:24" x14ac:dyDescent="0.25">
      <c r="A1015" t="s">
        <v>2051</v>
      </c>
      <c r="B1015" t="s">
        <v>2052</v>
      </c>
      <c r="C1015" t="s">
        <v>22</v>
      </c>
      <c r="D1015" t="s">
        <v>62</v>
      </c>
      <c r="E1015" s="1">
        <v>45065</v>
      </c>
      <c r="F1015" t="s">
        <v>14</v>
      </c>
      <c r="G1015">
        <v>6176</v>
      </c>
      <c r="H1015">
        <v>7401</v>
      </c>
      <c r="I1015">
        <v>2.68</v>
      </c>
      <c r="J1015">
        <v>68</v>
      </c>
      <c r="M1015">
        <f t="shared" ca="1" si="60"/>
        <v>784</v>
      </c>
      <c r="N1015" s="3" t="str" cm="1">
        <f t="array" ref="N1015">_xlfn.IFS(I1015&gt;=3.5,"Excellent",I1015&gt;=3,"Good",I1015&gt;=2,"Average",I1015&lt;2,"Poor")</f>
        <v>Average</v>
      </c>
      <c r="P1015" t="str">
        <f t="shared" si="61"/>
        <v>True</v>
      </c>
      <c r="Q1015">
        <f t="shared" si="62"/>
        <v>124591</v>
      </c>
      <c r="R1015">
        <v>2023</v>
      </c>
      <c r="X1015" t="str">
        <f t="shared" ca="1" si="63"/>
        <v/>
      </c>
    </row>
    <row r="1016" spans="1:24" x14ac:dyDescent="0.25">
      <c r="A1016" t="s">
        <v>2053</v>
      </c>
      <c r="B1016" t="s">
        <v>2054</v>
      </c>
      <c r="C1016" t="s">
        <v>57</v>
      </c>
      <c r="D1016" t="s">
        <v>62</v>
      </c>
      <c r="E1016" s="1">
        <v>45013</v>
      </c>
      <c r="F1016" t="s">
        <v>14</v>
      </c>
      <c r="G1016">
        <v>14399</v>
      </c>
      <c r="H1016">
        <v>7150</v>
      </c>
      <c r="I1016">
        <v>2.95</v>
      </c>
      <c r="J1016">
        <v>21</v>
      </c>
      <c r="M1016">
        <f t="shared" ca="1" si="60"/>
        <v>836</v>
      </c>
      <c r="N1016" s="3" t="str" cm="1">
        <f t="array" ref="N1016">_xlfn.IFS(I1016&gt;=3.5,"Excellent",I1016&gt;=3,"Good",I1016&gt;=2,"Average",I1016&lt;2,"Poor")</f>
        <v>Average</v>
      </c>
      <c r="P1016" t="str">
        <f t="shared" si="61"/>
        <v/>
      </c>
      <c r="Q1016">
        <f t="shared" si="62"/>
        <v>124591</v>
      </c>
      <c r="R1016">
        <v>2023</v>
      </c>
      <c r="X1016" t="str">
        <f t="shared" ca="1" si="63"/>
        <v/>
      </c>
    </row>
    <row r="1017" spans="1:24" x14ac:dyDescent="0.25">
      <c r="A1017" t="s">
        <v>2055</v>
      </c>
      <c r="B1017" t="s">
        <v>2056</v>
      </c>
      <c r="C1017" t="s">
        <v>28</v>
      </c>
      <c r="D1017" t="s">
        <v>13</v>
      </c>
      <c r="E1017" s="1">
        <v>44564</v>
      </c>
      <c r="F1017" t="s">
        <v>14</v>
      </c>
      <c r="G1017">
        <v>13434</v>
      </c>
      <c r="H1017">
        <v>9599</v>
      </c>
      <c r="I1017">
        <v>2.15</v>
      </c>
      <c r="J1017">
        <v>18</v>
      </c>
      <c r="M1017">
        <f t="shared" ca="1" si="60"/>
        <v>1285</v>
      </c>
      <c r="N1017" s="3" t="str" cm="1">
        <f t="array" ref="N1017">_xlfn.IFS(I1017&gt;=3.5,"Excellent",I1017&gt;=3,"Good",I1017&gt;=2,"Average",I1017&lt;2,"Poor")</f>
        <v>Average</v>
      </c>
      <c r="P1017" t="str">
        <f t="shared" si="61"/>
        <v>True</v>
      </c>
      <c r="Q1017">
        <f t="shared" si="62"/>
        <v>124591</v>
      </c>
      <c r="R1017">
        <v>2022</v>
      </c>
      <c r="X1017" t="str">
        <f t="shared" ca="1" si="63"/>
        <v/>
      </c>
    </row>
    <row r="1018" spans="1:24" x14ac:dyDescent="0.25">
      <c r="A1018" t="s">
        <v>2057</v>
      </c>
      <c r="B1018" t="s">
        <v>2058</v>
      </c>
      <c r="C1018" t="s">
        <v>54</v>
      </c>
      <c r="D1018" t="s">
        <v>31</v>
      </c>
      <c r="E1018" s="1">
        <v>45014</v>
      </c>
      <c r="F1018" t="s">
        <v>14</v>
      </c>
      <c r="G1018">
        <v>3398</v>
      </c>
      <c r="H1018">
        <v>6329</v>
      </c>
      <c r="I1018">
        <v>3.15</v>
      </c>
      <c r="J1018">
        <v>58</v>
      </c>
      <c r="M1018">
        <f t="shared" ca="1" si="60"/>
        <v>835</v>
      </c>
      <c r="N1018" s="3" t="str" cm="1">
        <f t="array" ref="N1018">_xlfn.IFS(I1018&gt;=3.5,"Excellent",I1018&gt;=3,"Good",I1018&gt;=2,"Average",I1018&lt;2,"Poor")</f>
        <v>Good</v>
      </c>
      <c r="P1018" t="str">
        <f t="shared" si="61"/>
        <v>True</v>
      </c>
      <c r="Q1018">
        <f t="shared" si="62"/>
        <v>124591</v>
      </c>
      <c r="R1018">
        <v>2023</v>
      </c>
      <c r="X1018" t="str">
        <f t="shared" ca="1" si="63"/>
        <v/>
      </c>
    </row>
    <row r="1019" spans="1:24" x14ac:dyDescent="0.25">
      <c r="A1019" t="s">
        <v>2059</v>
      </c>
      <c r="B1019" t="s">
        <v>2060</v>
      </c>
      <c r="C1019" t="s">
        <v>36</v>
      </c>
      <c r="D1019" t="s">
        <v>31</v>
      </c>
      <c r="E1019" s="1">
        <v>44827</v>
      </c>
      <c r="F1019" t="s">
        <v>14</v>
      </c>
      <c r="G1019">
        <v>9724</v>
      </c>
      <c r="H1019">
        <v>8224</v>
      </c>
      <c r="I1019">
        <v>3.57</v>
      </c>
      <c r="J1019">
        <v>38</v>
      </c>
      <c r="M1019">
        <f t="shared" ca="1" si="60"/>
        <v>1022</v>
      </c>
      <c r="N1019" s="3" t="str" cm="1">
        <f t="array" ref="N1019">_xlfn.IFS(I1019&gt;=3.5,"Excellent",I1019&gt;=3,"Good",I1019&gt;=2,"Average",I1019&lt;2,"Poor")</f>
        <v>Excellent</v>
      </c>
      <c r="P1019" t="str">
        <f t="shared" si="61"/>
        <v>True</v>
      </c>
      <c r="Q1019">
        <f t="shared" si="62"/>
        <v>124591</v>
      </c>
      <c r="R1019">
        <v>2022</v>
      </c>
      <c r="X1019" t="str">
        <f t="shared" ca="1" si="63"/>
        <v/>
      </c>
    </row>
    <row r="1020" spans="1:24" x14ac:dyDescent="0.25">
      <c r="A1020" t="s">
        <v>2061</v>
      </c>
      <c r="B1020" t="s">
        <v>2062</v>
      </c>
      <c r="C1020" t="s">
        <v>17</v>
      </c>
      <c r="D1020" t="s">
        <v>62</v>
      </c>
      <c r="E1020" s="1">
        <v>44916</v>
      </c>
      <c r="F1020" t="s">
        <v>14</v>
      </c>
      <c r="G1020">
        <v>13375</v>
      </c>
      <c r="H1020">
        <v>7202</v>
      </c>
      <c r="I1020">
        <v>3.07</v>
      </c>
      <c r="J1020">
        <v>11</v>
      </c>
      <c r="M1020">
        <f t="shared" ca="1" si="60"/>
        <v>933</v>
      </c>
      <c r="N1020" s="3" t="str" cm="1">
        <f t="array" ref="N1020">_xlfn.IFS(I1020&gt;=3.5,"Excellent",I1020&gt;=3,"Good",I1020&gt;=2,"Average",I1020&lt;2,"Poor")</f>
        <v>Good</v>
      </c>
      <c r="P1020" t="str">
        <f t="shared" si="61"/>
        <v>True</v>
      </c>
      <c r="Q1020">
        <f t="shared" si="62"/>
        <v>124591</v>
      </c>
      <c r="R1020">
        <v>2022</v>
      </c>
      <c r="X1020" t="str">
        <f t="shared" ca="1" si="63"/>
        <v/>
      </c>
    </row>
    <row r="1021" spans="1:24" x14ac:dyDescent="0.25">
      <c r="A1021" t="s">
        <v>2063</v>
      </c>
      <c r="B1021" t="s">
        <v>2064</v>
      </c>
      <c r="C1021" t="s">
        <v>54</v>
      </c>
      <c r="D1021" t="s">
        <v>62</v>
      </c>
      <c r="E1021" s="1">
        <v>45390</v>
      </c>
      <c r="F1021" t="s">
        <v>19</v>
      </c>
      <c r="G1021">
        <v>2052</v>
      </c>
      <c r="H1021">
        <v>5540</v>
      </c>
      <c r="I1021">
        <v>2.76</v>
      </c>
      <c r="J1021">
        <v>117</v>
      </c>
      <c r="M1021" t="str">
        <f t="shared" ca="1" si="60"/>
        <v/>
      </c>
      <c r="N1021" s="3" t="str" cm="1">
        <f t="array" ref="N1021">_xlfn.IFS(I1021&gt;=3.5,"Excellent",I1021&gt;=3,"Good",I1021&gt;=2,"Average",I1021&lt;2,"Poor")</f>
        <v>Average</v>
      </c>
      <c r="P1021" t="str">
        <f t="shared" si="61"/>
        <v>True</v>
      </c>
      <c r="Q1021">
        <f t="shared" si="62"/>
        <v>124591</v>
      </c>
      <c r="R1021">
        <v>2024</v>
      </c>
      <c r="X1021">
        <f t="shared" ca="1" si="63"/>
        <v>459</v>
      </c>
    </row>
    <row r="1022" spans="1:24" x14ac:dyDescent="0.25">
      <c r="A1022" t="s">
        <v>2065</v>
      </c>
      <c r="B1022" t="s">
        <v>2066</v>
      </c>
      <c r="C1022" t="s">
        <v>57</v>
      </c>
      <c r="D1022" t="s">
        <v>18</v>
      </c>
      <c r="E1022" s="1">
        <v>44845</v>
      </c>
      <c r="F1022" t="s">
        <v>14</v>
      </c>
      <c r="G1022">
        <v>9348</v>
      </c>
      <c r="H1022">
        <v>3252</v>
      </c>
      <c r="I1022">
        <v>3.92</v>
      </c>
      <c r="J1022">
        <v>20</v>
      </c>
      <c r="M1022">
        <f t="shared" ca="1" si="60"/>
        <v>1004</v>
      </c>
      <c r="N1022" s="3" t="str" cm="1">
        <f t="array" ref="N1022">_xlfn.IFS(I1022&gt;=3.5,"Excellent",I1022&gt;=3,"Good",I1022&gt;=2,"Average",I1022&lt;2,"Poor")</f>
        <v>Excellent</v>
      </c>
      <c r="P1022" t="str">
        <f t="shared" si="61"/>
        <v/>
      </c>
      <c r="Q1022">
        <f t="shared" si="62"/>
        <v>124591</v>
      </c>
      <c r="R1022">
        <v>2022</v>
      </c>
      <c r="X1022" t="str">
        <f t="shared" ca="1" si="63"/>
        <v/>
      </c>
    </row>
    <row r="1023" spans="1:24" x14ac:dyDescent="0.25">
      <c r="A1023" t="s">
        <v>2067</v>
      </c>
      <c r="B1023" t="s">
        <v>2068</v>
      </c>
      <c r="C1023" t="s">
        <v>36</v>
      </c>
      <c r="D1023" t="s">
        <v>18</v>
      </c>
      <c r="E1023" s="1">
        <v>44944</v>
      </c>
      <c r="F1023" t="s">
        <v>14</v>
      </c>
      <c r="G1023">
        <v>3683</v>
      </c>
      <c r="H1023">
        <v>5286</v>
      </c>
      <c r="I1023">
        <v>3.04</v>
      </c>
      <c r="J1023">
        <v>61</v>
      </c>
      <c r="M1023">
        <f t="shared" ca="1" si="60"/>
        <v>905</v>
      </c>
      <c r="N1023" s="3" t="str" cm="1">
        <f t="array" ref="N1023">_xlfn.IFS(I1023&gt;=3.5,"Excellent",I1023&gt;=3,"Good",I1023&gt;=2,"Average",I1023&lt;2,"Poor")</f>
        <v>Good</v>
      </c>
      <c r="P1023" t="str">
        <f t="shared" si="61"/>
        <v>True</v>
      </c>
      <c r="Q1023">
        <f t="shared" si="62"/>
        <v>124591</v>
      </c>
      <c r="R1023">
        <v>2023</v>
      </c>
      <c r="X1023" t="str">
        <f t="shared" ca="1" si="63"/>
        <v/>
      </c>
    </row>
    <row r="1024" spans="1:24" x14ac:dyDescent="0.25">
      <c r="A1024" t="s">
        <v>2069</v>
      </c>
      <c r="B1024" t="s">
        <v>2070</v>
      </c>
      <c r="C1024" t="s">
        <v>12</v>
      </c>
      <c r="D1024" t="s">
        <v>62</v>
      </c>
      <c r="E1024" s="1">
        <v>44679</v>
      </c>
      <c r="F1024" t="s">
        <v>14</v>
      </c>
      <c r="G1024">
        <v>6294</v>
      </c>
      <c r="H1024">
        <v>3422</v>
      </c>
      <c r="I1024">
        <v>2.84</v>
      </c>
      <c r="J1024">
        <v>107</v>
      </c>
      <c r="M1024">
        <f t="shared" ca="1" si="60"/>
        <v>1170</v>
      </c>
      <c r="N1024" s="3" t="str" cm="1">
        <f t="array" ref="N1024">_xlfn.IFS(I1024&gt;=3.5,"Excellent",I1024&gt;=3,"Good",I1024&gt;=2,"Average",I1024&lt;2,"Poor")</f>
        <v>Average</v>
      </c>
      <c r="P1024" t="str">
        <f t="shared" si="61"/>
        <v>True</v>
      </c>
      <c r="Q1024">
        <f t="shared" si="62"/>
        <v>124591</v>
      </c>
      <c r="R1024">
        <v>2022</v>
      </c>
      <c r="X1024" t="str">
        <f t="shared" ca="1" si="63"/>
        <v/>
      </c>
    </row>
    <row r="1025" spans="1:24" x14ac:dyDescent="0.25">
      <c r="A1025" t="s">
        <v>2071</v>
      </c>
      <c r="B1025" t="s">
        <v>2072</v>
      </c>
      <c r="C1025" t="s">
        <v>57</v>
      </c>
      <c r="D1025" t="s">
        <v>62</v>
      </c>
      <c r="E1025" s="1">
        <v>44811</v>
      </c>
      <c r="F1025" t="s">
        <v>19</v>
      </c>
      <c r="G1025">
        <v>6651</v>
      </c>
      <c r="H1025">
        <v>7082</v>
      </c>
      <c r="I1025">
        <v>2.4300000000000002</v>
      </c>
      <c r="J1025">
        <v>85</v>
      </c>
      <c r="M1025" t="str">
        <f t="shared" ca="1" si="60"/>
        <v/>
      </c>
      <c r="N1025" s="3" t="str" cm="1">
        <f t="array" ref="N1025">_xlfn.IFS(I1025&gt;=3.5,"Excellent",I1025&gt;=3,"Good",I1025&gt;=2,"Average",I1025&lt;2,"Poor")</f>
        <v>Average</v>
      </c>
      <c r="P1025" t="str">
        <f t="shared" si="61"/>
        <v>True</v>
      </c>
      <c r="Q1025">
        <f t="shared" si="62"/>
        <v>124591</v>
      </c>
      <c r="R1025">
        <v>2022</v>
      </c>
      <c r="X1025">
        <f t="shared" ca="1" si="63"/>
        <v>1038</v>
      </c>
    </row>
    <row r="1026" spans="1:24" x14ac:dyDescent="0.25">
      <c r="A1026" t="s">
        <v>2073</v>
      </c>
      <c r="B1026" t="s">
        <v>2074</v>
      </c>
      <c r="C1026" t="s">
        <v>12</v>
      </c>
      <c r="D1026" t="s">
        <v>13</v>
      </c>
      <c r="E1026" s="1">
        <v>45422</v>
      </c>
      <c r="F1026" t="s">
        <v>19</v>
      </c>
      <c r="G1026">
        <v>14550</v>
      </c>
      <c r="H1026">
        <v>9171</v>
      </c>
      <c r="I1026">
        <v>3.25</v>
      </c>
      <c r="J1026">
        <v>78</v>
      </c>
      <c r="M1026" t="str">
        <f t="shared" ca="1" si="60"/>
        <v/>
      </c>
      <c r="N1026" s="3" t="str" cm="1">
        <f t="array" ref="N1026">_xlfn.IFS(I1026&gt;=3.5,"Excellent",I1026&gt;=3,"Good",I1026&gt;=2,"Average",I1026&lt;2,"Poor")</f>
        <v>Good</v>
      </c>
      <c r="P1026" t="str">
        <f t="shared" si="61"/>
        <v>True</v>
      </c>
      <c r="Q1026">
        <f t="shared" si="62"/>
        <v>124591</v>
      </c>
      <c r="R1026">
        <v>2024</v>
      </c>
      <c r="X1026">
        <f t="shared" ca="1" si="63"/>
        <v>427</v>
      </c>
    </row>
    <row r="1027" spans="1:24" x14ac:dyDescent="0.25">
      <c r="A1027" t="s">
        <v>2075</v>
      </c>
      <c r="B1027" t="s">
        <v>2076</v>
      </c>
      <c r="C1027" t="s">
        <v>28</v>
      </c>
      <c r="D1027" t="s">
        <v>31</v>
      </c>
      <c r="E1027" s="1">
        <v>45244</v>
      </c>
      <c r="F1027" t="s">
        <v>19</v>
      </c>
      <c r="G1027">
        <v>4049</v>
      </c>
      <c r="H1027">
        <v>3524</v>
      </c>
      <c r="I1027">
        <v>2.23</v>
      </c>
      <c r="J1027">
        <v>29</v>
      </c>
      <c r="M1027" t="str">
        <f t="shared" ref="M1027:M1090" ca="1" si="64">IF(F1027="Enrolled",TODAY()-E1027,"")</f>
        <v/>
      </c>
      <c r="N1027" s="3" t="str" cm="1">
        <f t="array" ref="N1027">_xlfn.IFS(I1027&gt;=3.5,"Excellent",I1027&gt;=3,"Good",I1027&gt;=2,"Average",I1027&lt;2,"Poor")</f>
        <v>Average</v>
      </c>
      <c r="P1027" t="str">
        <f t="shared" ref="P1027:P1090" si="65">IF(H1027&gt;0.5*G1027,"True","")</f>
        <v>True</v>
      </c>
      <c r="Q1027">
        <f t="shared" ref="Q1027:Q1090" si="66">SUMIFS(G1027:G2226,F1027:F2226,"Completed",D1027:D2226,"Science")</f>
        <v>124591</v>
      </c>
      <c r="R1027">
        <v>2023</v>
      </c>
      <c r="X1027">
        <f t="shared" ref="X1027:X1090" ca="1" si="67">IF(F1027="Completed",TODAY()-E1027,"")</f>
        <v>605</v>
      </c>
    </row>
    <row r="1028" spans="1:24" x14ac:dyDescent="0.25">
      <c r="A1028" t="s">
        <v>2077</v>
      </c>
      <c r="B1028" t="s">
        <v>2078</v>
      </c>
      <c r="C1028" t="s">
        <v>54</v>
      </c>
      <c r="D1028" t="s">
        <v>13</v>
      </c>
      <c r="E1028" s="1">
        <v>44956</v>
      </c>
      <c r="F1028" t="s">
        <v>19</v>
      </c>
      <c r="G1028">
        <v>2397</v>
      </c>
      <c r="H1028">
        <v>7989</v>
      </c>
      <c r="I1028">
        <v>2.91</v>
      </c>
      <c r="J1028">
        <v>117</v>
      </c>
      <c r="M1028" t="str">
        <f t="shared" ca="1" si="64"/>
        <v/>
      </c>
      <c r="N1028" s="3" t="str" cm="1">
        <f t="array" ref="N1028">_xlfn.IFS(I1028&gt;=3.5,"Excellent",I1028&gt;=3,"Good",I1028&gt;=2,"Average",I1028&lt;2,"Poor")</f>
        <v>Average</v>
      </c>
      <c r="P1028" t="str">
        <f t="shared" si="65"/>
        <v>True</v>
      </c>
      <c r="Q1028">
        <f t="shared" si="66"/>
        <v>124591</v>
      </c>
      <c r="R1028">
        <v>2023</v>
      </c>
      <c r="X1028">
        <f t="shared" ca="1" si="67"/>
        <v>893</v>
      </c>
    </row>
    <row r="1029" spans="1:24" x14ac:dyDescent="0.25">
      <c r="A1029" t="s">
        <v>2079</v>
      </c>
      <c r="B1029" t="s">
        <v>2080</v>
      </c>
      <c r="C1029" t="s">
        <v>57</v>
      </c>
      <c r="D1029" t="s">
        <v>18</v>
      </c>
      <c r="E1029" s="1">
        <v>44691</v>
      </c>
      <c r="F1029" t="s">
        <v>19</v>
      </c>
      <c r="G1029">
        <v>2645</v>
      </c>
      <c r="H1029">
        <v>2926</v>
      </c>
      <c r="I1029">
        <v>3.57</v>
      </c>
      <c r="J1029">
        <v>54</v>
      </c>
      <c r="M1029" t="str">
        <f t="shared" ca="1" si="64"/>
        <v/>
      </c>
      <c r="N1029" s="3" t="str" cm="1">
        <f t="array" ref="N1029">_xlfn.IFS(I1029&gt;=3.5,"Excellent",I1029&gt;=3,"Good",I1029&gt;=2,"Average",I1029&lt;2,"Poor")</f>
        <v>Excellent</v>
      </c>
      <c r="P1029" t="str">
        <f t="shared" si="65"/>
        <v>True</v>
      </c>
      <c r="Q1029">
        <f t="shared" si="66"/>
        <v>124591</v>
      </c>
      <c r="R1029">
        <v>2022</v>
      </c>
      <c r="X1029">
        <f t="shared" ca="1" si="67"/>
        <v>1158</v>
      </c>
    </row>
    <row r="1030" spans="1:24" x14ac:dyDescent="0.25">
      <c r="A1030" t="s">
        <v>2081</v>
      </c>
      <c r="B1030" t="s">
        <v>2082</v>
      </c>
      <c r="C1030" t="s">
        <v>28</v>
      </c>
      <c r="D1030" t="s">
        <v>62</v>
      </c>
      <c r="E1030" s="1">
        <v>44864</v>
      </c>
      <c r="F1030" t="s">
        <v>14</v>
      </c>
      <c r="G1030">
        <v>4105</v>
      </c>
      <c r="H1030">
        <v>9705</v>
      </c>
      <c r="I1030">
        <v>2.3199999999999998</v>
      </c>
      <c r="J1030">
        <v>22</v>
      </c>
      <c r="M1030">
        <f t="shared" ca="1" si="64"/>
        <v>985</v>
      </c>
      <c r="N1030" s="3" t="str" cm="1">
        <f t="array" ref="N1030">_xlfn.IFS(I1030&gt;=3.5,"Excellent",I1030&gt;=3,"Good",I1030&gt;=2,"Average",I1030&lt;2,"Poor")</f>
        <v>Average</v>
      </c>
      <c r="P1030" t="str">
        <f t="shared" si="65"/>
        <v>True</v>
      </c>
      <c r="Q1030">
        <f t="shared" si="66"/>
        <v>121946</v>
      </c>
      <c r="R1030">
        <v>2022</v>
      </c>
      <c r="X1030" t="str">
        <f t="shared" ca="1" si="67"/>
        <v/>
      </c>
    </row>
    <row r="1031" spans="1:24" x14ac:dyDescent="0.25">
      <c r="A1031" t="s">
        <v>2083</v>
      </c>
      <c r="B1031" t="s">
        <v>2084</v>
      </c>
      <c r="C1031" t="s">
        <v>12</v>
      </c>
      <c r="D1031" t="s">
        <v>31</v>
      </c>
      <c r="E1031" s="1">
        <v>44603</v>
      </c>
      <c r="F1031" t="s">
        <v>14</v>
      </c>
      <c r="G1031">
        <v>7185</v>
      </c>
      <c r="H1031">
        <v>3129</v>
      </c>
      <c r="I1031">
        <v>2.87</v>
      </c>
      <c r="J1031">
        <v>24</v>
      </c>
      <c r="M1031">
        <f t="shared" ca="1" si="64"/>
        <v>1246</v>
      </c>
      <c r="N1031" s="3" t="str" cm="1">
        <f t="array" ref="N1031">_xlfn.IFS(I1031&gt;=3.5,"Excellent",I1031&gt;=3,"Good",I1031&gt;=2,"Average",I1031&lt;2,"Poor")</f>
        <v>Average</v>
      </c>
      <c r="P1031" t="str">
        <f t="shared" si="65"/>
        <v/>
      </c>
      <c r="Q1031">
        <f t="shared" si="66"/>
        <v>121946</v>
      </c>
      <c r="R1031">
        <v>2022</v>
      </c>
      <c r="X1031" t="str">
        <f t="shared" ca="1" si="67"/>
        <v/>
      </c>
    </row>
    <row r="1032" spans="1:24" x14ac:dyDescent="0.25">
      <c r="A1032" t="s">
        <v>2085</v>
      </c>
      <c r="B1032" t="s">
        <v>2086</v>
      </c>
      <c r="C1032" t="s">
        <v>54</v>
      </c>
      <c r="D1032" t="s">
        <v>18</v>
      </c>
      <c r="E1032" s="1">
        <v>45300</v>
      </c>
      <c r="F1032" t="s">
        <v>14</v>
      </c>
      <c r="G1032">
        <v>6263</v>
      </c>
      <c r="H1032">
        <v>1642</v>
      </c>
      <c r="I1032">
        <v>3.17</v>
      </c>
      <c r="J1032">
        <v>49</v>
      </c>
      <c r="M1032">
        <f t="shared" ca="1" si="64"/>
        <v>549</v>
      </c>
      <c r="N1032" s="3" t="str" cm="1">
        <f t="array" ref="N1032">_xlfn.IFS(I1032&gt;=3.5,"Excellent",I1032&gt;=3,"Good",I1032&gt;=2,"Average",I1032&lt;2,"Poor")</f>
        <v>Good</v>
      </c>
      <c r="P1032" t="str">
        <f t="shared" si="65"/>
        <v/>
      </c>
      <c r="Q1032">
        <f t="shared" si="66"/>
        <v>121946</v>
      </c>
      <c r="R1032">
        <v>2024</v>
      </c>
      <c r="X1032" t="str">
        <f t="shared" ca="1" si="67"/>
        <v/>
      </c>
    </row>
    <row r="1033" spans="1:24" x14ac:dyDescent="0.25">
      <c r="A1033" t="s">
        <v>2087</v>
      </c>
      <c r="B1033" t="s">
        <v>2088</v>
      </c>
      <c r="C1033" t="s">
        <v>36</v>
      </c>
      <c r="D1033" t="s">
        <v>13</v>
      </c>
      <c r="E1033" s="1">
        <v>45130</v>
      </c>
      <c r="F1033" t="s">
        <v>14</v>
      </c>
      <c r="G1033">
        <v>7201</v>
      </c>
      <c r="H1033">
        <v>943</v>
      </c>
      <c r="I1033">
        <v>3.49</v>
      </c>
      <c r="J1033">
        <v>19</v>
      </c>
      <c r="M1033">
        <f t="shared" ca="1" si="64"/>
        <v>719</v>
      </c>
      <c r="N1033" s="3" t="str" cm="1">
        <f t="array" ref="N1033">_xlfn.IFS(I1033&gt;=3.5,"Excellent",I1033&gt;=3,"Good",I1033&gt;=2,"Average",I1033&lt;2,"Poor")</f>
        <v>Good</v>
      </c>
      <c r="P1033" t="str">
        <f t="shared" si="65"/>
        <v/>
      </c>
      <c r="Q1033">
        <f t="shared" si="66"/>
        <v>121946</v>
      </c>
      <c r="R1033">
        <v>2023</v>
      </c>
      <c r="X1033" t="str">
        <f t="shared" ca="1" si="67"/>
        <v/>
      </c>
    </row>
    <row r="1034" spans="1:24" x14ac:dyDescent="0.25">
      <c r="A1034" t="s">
        <v>2089</v>
      </c>
      <c r="B1034" t="s">
        <v>2090</v>
      </c>
      <c r="C1034" t="s">
        <v>12</v>
      </c>
      <c r="D1034" t="s">
        <v>62</v>
      </c>
      <c r="E1034" s="1">
        <v>45400</v>
      </c>
      <c r="F1034" t="s">
        <v>39</v>
      </c>
      <c r="G1034">
        <v>6043</v>
      </c>
      <c r="H1034">
        <v>6673</v>
      </c>
      <c r="I1034">
        <v>2.94</v>
      </c>
      <c r="J1034">
        <v>81</v>
      </c>
      <c r="M1034" t="str">
        <f t="shared" ca="1" si="64"/>
        <v/>
      </c>
      <c r="N1034" s="3" t="str" cm="1">
        <f t="array" ref="N1034">_xlfn.IFS(I1034&gt;=3.5,"Excellent",I1034&gt;=3,"Good",I1034&gt;=2,"Average",I1034&lt;2,"Poor")</f>
        <v>Average</v>
      </c>
      <c r="P1034" t="str">
        <f t="shared" si="65"/>
        <v>True</v>
      </c>
      <c r="Q1034">
        <f t="shared" si="66"/>
        <v>121946</v>
      </c>
      <c r="R1034">
        <v>2024</v>
      </c>
      <c r="X1034" t="str">
        <f t="shared" ca="1" si="67"/>
        <v/>
      </c>
    </row>
    <row r="1035" spans="1:24" x14ac:dyDescent="0.25">
      <c r="A1035" t="s">
        <v>2091</v>
      </c>
      <c r="B1035" t="s">
        <v>2092</v>
      </c>
      <c r="C1035" t="s">
        <v>54</v>
      </c>
      <c r="D1035" t="s">
        <v>31</v>
      </c>
      <c r="E1035" s="1">
        <v>45326</v>
      </c>
      <c r="F1035" t="s">
        <v>14</v>
      </c>
      <c r="G1035">
        <v>4290</v>
      </c>
      <c r="H1035">
        <v>8037</v>
      </c>
      <c r="I1035">
        <v>3.2</v>
      </c>
      <c r="J1035">
        <v>100</v>
      </c>
      <c r="M1035">
        <f t="shared" ca="1" si="64"/>
        <v>523</v>
      </c>
      <c r="N1035" s="3" t="str" cm="1">
        <f t="array" ref="N1035">_xlfn.IFS(I1035&gt;=3.5,"Excellent",I1035&gt;=3,"Good",I1035&gt;=2,"Average",I1035&lt;2,"Poor")</f>
        <v>Good</v>
      </c>
      <c r="P1035" t="str">
        <f t="shared" si="65"/>
        <v>True</v>
      </c>
      <c r="Q1035">
        <f t="shared" si="66"/>
        <v>121946</v>
      </c>
      <c r="R1035">
        <v>2024</v>
      </c>
      <c r="X1035" t="str">
        <f t="shared" ca="1" si="67"/>
        <v/>
      </c>
    </row>
    <row r="1036" spans="1:24" x14ac:dyDescent="0.25">
      <c r="A1036" t="s">
        <v>2093</v>
      </c>
      <c r="B1036" t="s">
        <v>2094</v>
      </c>
      <c r="C1036" t="s">
        <v>12</v>
      </c>
      <c r="D1036" t="s">
        <v>18</v>
      </c>
      <c r="E1036" s="1">
        <v>45220</v>
      </c>
      <c r="F1036" t="s">
        <v>14</v>
      </c>
      <c r="G1036">
        <v>13750</v>
      </c>
      <c r="H1036">
        <v>3160</v>
      </c>
      <c r="I1036">
        <v>2.5299999999999998</v>
      </c>
      <c r="J1036">
        <v>20</v>
      </c>
      <c r="M1036">
        <f t="shared" ca="1" si="64"/>
        <v>629</v>
      </c>
      <c r="N1036" s="3" t="str" cm="1">
        <f t="array" ref="N1036">_xlfn.IFS(I1036&gt;=3.5,"Excellent",I1036&gt;=3,"Good",I1036&gt;=2,"Average",I1036&lt;2,"Poor")</f>
        <v>Average</v>
      </c>
      <c r="P1036" t="str">
        <f t="shared" si="65"/>
        <v/>
      </c>
      <c r="Q1036">
        <f t="shared" si="66"/>
        <v>121946</v>
      </c>
      <c r="R1036">
        <v>2023</v>
      </c>
      <c r="X1036" t="str">
        <f t="shared" ca="1" si="67"/>
        <v/>
      </c>
    </row>
    <row r="1037" spans="1:24" x14ac:dyDescent="0.25">
      <c r="A1037" t="s">
        <v>2095</v>
      </c>
      <c r="B1037" t="s">
        <v>2096</v>
      </c>
      <c r="C1037" t="s">
        <v>54</v>
      </c>
      <c r="D1037" t="s">
        <v>18</v>
      </c>
      <c r="E1037" s="1">
        <v>44933</v>
      </c>
      <c r="F1037" t="s">
        <v>14</v>
      </c>
      <c r="G1037">
        <v>9223</v>
      </c>
      <c r="H1037">
        <v>934</v>
      </c>
      <c r="I1037">
        <v>3.49</v>
      </c>
      <c r="J1037">
        <v>104</v>
      </c>
      <c r="M1037">
        <f t="shared" ca="1" si="64"/>
        <v>916</v>
      </c>
      <c r="N1037" s="3" t="str" cm="1">
        <f t="array" ref="N1037">_xlfn.IFS(I1037&gt;=3.5,"Excellent",I1037&gt;=3,"Good",I1037&gt;=2,"Average",I1037&lt;2,"Poor")</f>
        <v>Good</v>
      </c>
      <c r="P1037" t="str">
        <f t="shared" si="65"/>
        <v/>
      </c>
      <c r="Q1037">
        <f t="shared" si="66"/>
        <v>121946</v>
      </c>
      <c r="R1037">
        <v>2023</v>
      </c>
      <c r="X1037" t="str">
        <f t="shared" ca="1" si="67"/>
        <v/>
      </c>
    </row>
    <row r="1038" spans="1:24" x14ac:dyDescent="0.25">
      <c r="A1038" t="s">
        <v>2097</v>
      </c>
      <c r="B1038" t="s">
        <v>2098</v>
      </c>
      <c r="C1038" t="s">
        <v>36</v>
      </c>
      <c r="D1038" t="s">
        <v>31</v>
      </c>
      <c r="E1038" s="1">
        <v>45186</v>
      </c>
      <c r="F1038" t="s">
        <v>19</v>
      </c>
      <c r="G1038">
        <v>9699</v>
      </c>
      <c r="H1038">
        <v>3736</v>
      </c>
      <c r="I1038">
        <v>3.07</v>
      </c>
      <c r="J1038">
        <v>57</v>
      </c>
      <c r="M1038" t="str">
        <f t="shared" ca="1" si="64"/>
        <v/>
      </c>
      <c r="N1038" s="3" t="str" cm="1">
        <f t="array" ref="N1038">_xlfn.IFS(I1038&gt;=3.5,"Excellent",I1038&gt;=3,"Good",I1038&gt;=2,"Average",I1038&lt;2,"Poor")</f>
        <v>Good</v>
      </c>
      <c r="P1038" t="str">
        <f t="shared" si="65"/>
        <v/>
      </c>
      <c r="Q1038">
        <f t="shared" si="66"/>
        <v>121946</v>
      </c>
      <c r="R1038">
        <v>2023</v>
      </c>
      <c r="X1038">
        <f t="shared" ca="1" si="67"/>
        <v>663</v>
      </c>
    </row>
    <row r="1039" spans="1:24" x14ac:dyDescent="0.25">
      <c r="A1039" t="s">
        <v>2099</v>
      </c>
      <c r="B1039" t="s">
        <v>2100</v>
      </c>
      <c r="C1039" t="s">
        <v>12</v>
      </c>
      <c r="D1039" t="s">
        <v>62</v>
      </c>
      <c r="E1039" s="1">
        <v>44579</v>
      </c>
      <c r="F1039" t="s">
        <v>14</v>
      </c>
      <c r="G1039">
        <v>9851</v>
      </c>
      <c r="H1039">
        <v>2149</v>
      </c>
      <c r="I1039">
        <v>3.39</v>
      </c>
      <c r="J1039">
        <v>78</v>
      </c>
      <c r="M1039">
        <f t="shared" ca="1" si="64"/>
        <v>1270</v>
      </c>
      <c r="N1039" s="3" t="str" cm="1">
        <f t="array" ref="N1039">_xlfn.IFS(I1039&gt;=3.5,"Excellent",I1039&gt;=3,"Good",I1039&gt;=2,"Average",I1039&lt;2,"Poor")</f>
        <v>Good</v>
      </c>
      <c r="P1039" t="str">
        <f t="shared" si="65"/>
        <v/>
      </c>
      <c r="Q1039">
        <f t="shared" si="66"/>
        <v>121946</v>
      </c>
      <c r="R1039">
        <v>2022</v>
      </c>
      <c r="X1039" t="str">
        <f t="shared" ca="1" si="67"/>
        <v/>
      </c>
    </row>
    <row r="1040" spans="1:24" x14ac:dyDescent="0.25">
      <c r="A1040" t="s">
        <v>2101</v>
      </c>
      <c r="B1040" t="s">
        <v>2102</v>
      </c>
      <c r="C1040" t="s">
        <v>57</v>
      </c>
      <c r="D1040" t="s">
        <v>18</v>
      </c>
      <c r="E1040" s="1">
        <v>45441</v>
      </c>
      <c r="F1040" t="s">
        <v>14</v>
      </c>
      <c r="G1040">
        <v>8813</v>
      </c>
      <c r="H1040">
        <v>795</v>
      </c>
      <c r="I1040">
        <v>3.25</v>
      </c>
      <c r="J1040">
        <v>110</v>
      </c>
      <c r="M1040">
        <f t="shared" ca="1" si="64"/>
        <v>408</v>
      </c>
      <c r="N1040" s="3" t="str" cm="1">
        <f t="array" ref="N1040">_xlfn.IFS(I1040&gt;=3.5,"Excellent",I1040&gt;=3,"Good",I1040&gt;=2,"Average",I1040&lt;2,"Poor")</f>
        <v>Good</v>
      </c>
      <c r="P1040" t="str">
        <f t="shared" si="65"/>
        <v/>
      </c>
      <c r="Q1040">
        <f t="shared" si="66"/>
        <v>121946</v>
      </c>
      <c r="R1040">
        <v>2024</v>
      </c>
      <c r="X1040" t="str">
        <f t="shared" ca="1" si="67"/>
        <v/>
      </c>
    </row>
    <row r="1041" spans="1:24" x14ac:dyDescent="0.25">
      <c r="A1041" t="s">
        <v>2103</v>
      </c>
      <c r="B1041" t="s">
        <v>2104</v>
      </c>
      <c r="C1041" t="s">
        <v>25</v>
      </c>
      <c r="D1041" t="s">
        <v>18</v>
      </c>
      <c r="E1041" s="1">
        <v>44694</v>
      </c>
      <c r="F1041" t="s">
        <v>14</v>
      </c>
      <c r="G1041">
        <v>9828</v>
      </c>
      <c r="H1041">
        <v>9604</v>
      </c>
      <c r="I1041">
        <v>3.94</v>
      </c>
      <c r="J1041">
        <v>17</v>
      </c>
      <c r="M1041">
        <f t="shared" ca="1" si="64"/>
        <v>1155</v>
      </c>
      <c r="N1041" s="3" t="str" cm="1">
        <f t="array" ref="N1041">_xlfn.IFS(I1041&gt;=3.5,"Excellent",I1041&gt;=3,"Good",I1041&gt;=2,"Average",I1041&lt;2,"Poor")</f>
        <v>Excellent</v>
      </c>
      <c r="P1041" t="str">
        <f t="shared" si="65"/>
        <v>True</v>
      </c>
      <c r="Q1041">
        <f t="shared" si="66"/>
        <v>121946</v>
      </c>
      <c r="R1041">
        <v>2022</v>
      </c>
      <c r="X1041" t="str">
        <f t="shared" ca="1" si="67"/>
        <v/>
      </c>
    </row>
    <row r="1042" spans="1:24" x14ac:dyDescent="0.25">
      <c r="A1042" t="s">
        <v>2105</v>
      </c>
      <c r="B1042" t="s">
        <v>2106</v>
      </c>
      <c r="C1042" t="s">
        <v>25</v>
      </c>
      <c r="D1042" t="s">
        <v>62</v>
      </c>
      <c r="E1042" s="1">
        <v>44582</v>
      </c>
      <c r="F1042" t="s">
        <v>14</v>
      </c>
      <c r="G1042">
        <v>14430</v>
      </c>
      <c r="H1042">
        <v>4963</v>
      </c>
      <c r="I1042">
        <v>2.41</v>
      </c>
      <c r="J1042">
        <v>73</v>
      </c>
      <c r="M1042">
        <f t="shared" ca="1" si="64"/>
        <v>1267</v>
      </c>
      <c r="N1042" s="3" t="str" cm="1">
        <f t="array" ref="N1042">_xlfn.IFS(I1042&gt;=3.5,"Excellent",I1042&gt;=3,"Good",I1042&gt;=2,"Average",I1042&lt;2,"Poor")</f>
        <v>Average</v>
      </c>
      <c r="P1042" t="str">
        <f t="shared" si="65"/>
        <v/>
      </c>
      <c r="Q1042">
        <f t="shared" si="66"/>
        <v>121946</v>
      </c>
      <c r="R1042">
        <v>2022</v>
      </c>
      <c r="X1042" t="str">
        <f t="shared" ca="1" si="67"/>
        <v/>
      </c>
    </row>
    <row r="1043" spans="1:24" x14ac:dyDescent="0.25">
      <c r="A1043" t="s">
        <v>2107</v>
      </c>
      <c r="B1043" t="s">
        <v>2108</v>
      </c>
      <c r="C1043" t="s">
        <v>17</v>
      </c>
      <c r="D1043" t="s">
        <v>62</v>
      </c>
      <c r="E1043" s="1">
        <v>45016</v>
      </c>
      <c r="F1043" t="s">
        <v>14</v>
      </c>
      <c r="G1043">
        <v>14409</v>
      </c>
      <c r="H1043">
        <v>5793</v>
      </c>
      <c r="I1043">
        <v>2.61</v>
      </c>
      <c r="J1043">
        <v>31</v>
      </c>
      <c r="M1043">
        <f t="shared" ca="1" si="64"/>
        <v>833</v>
      </c>
      <c r="N1043" s="3" t="str" cm="1">
        <f t="array" ref="N1043">_xlfn.IFS(I1043&gt;=3.5,"Excellent",I1043&gt;=3,"Good",I1043&gt;=2,"Average",I1043&lt;2,"Poor")</f>
        <v>Average</v>
      </c>
      <c r="P1043" t="str">
        <f t="shared" si="65"/>
        <v/>
      </c>
      <c r="Q1043">
        <f t="shared" si="66"/>
        <v>121946</v>
      </c>
      <c r="R1043">
        <v>2023</v>
      </c>
      <c r="X1043" t="str">
        <f t="shared" ca="1" si="67"/>
        <v/>
      </c>
    </row>
    <row r="1044" spans="1:24" x14ac:dyDescent="0.25">
      <c r="A1044" t="s">
        <v>2109</v>
      </c>
      <c r="B1044" t="s">
        <v>2110</v>
      </c>
      <c r="C1044" t="s">
        <v>36</v>
      </c>
      <c r="D1044" t="s">
        <v>31</v>
      </c>
      <c r="E1044" s="1">
        <v>44816</v>
      </c>
      <c r="F1044" t="s">
        <v>14</v>
      </c>
      <c r="G1044">
        <v>3726</v>
      </c>
      <c r="H1044">
        <v>586</v>
      </c>
      <c r="I1044">
        <v>2.2200000000000002</v>
      </c>
      <c r="J1044">
        <v>6</v>
      </c>
      <c r="M1044">
        <f t="shared" ca="1" si="64"/>
        <v>1033</v>
      </c>
      <c r="N1044" s="3" t="str" cm="1">
        <f t="array" ref="N1044">_xlfn.IFS(I1044&gt;=3.5,"Excellent",I1044&gt;=3,"Good",I1044&gt;=2,"Average",I1044&lt;2,"Poor")</f>
        <v>Average</v>
      </c>
      <c r="P1044" t="str">
        <f t="shared" si="65"/>
        <v/>
      </c>
      <c r="Q1044">
        <f t="shared" si="66"/>
        <v>121946</v>
      </c>
      <c r="R1044">
        <v>2022</v>
      </c>
      <c r="X1044" t="str">
        <f t="shared" ca="1" si="67"/>
        <v/>
      </c>
    </row>
    <row r="1045" spans="1:24" x14ac:dyDescent="0.25">
      <c r="A1045" t="s">
        <v>2111</v>
      </c>
      <c r="B1045" t="s">
        <v>2112</v>
      </c>
      <c r="C1045" t="s">
        <v>28</v>
      </c>
      <c r="D1045" t="s">
        <v>18</v>
      </c>
      <c r="E1045" s="1">
        <v>45227</v>
      </c>
      <c r="F1045" t="s">
        <v>19</v>
      </c>
      <c r="G1045">
        <v>12371</v>
      </c>
      <c r="H1045">
        <v>3982</v>
      </c>
      <c r="I1045">
        <v>3.58</v>
      </c>
      <c r="J1045">
        <v>52</v>
      </c>
      <c r="M1045" t="str">
        <f t="shared" ca="1" si="64"/>
        <v/>
      </c>
      <c r="N1045" s="3" t="str" cm="1">
        <f t="array" ref="N1045">_xlfn.IFS(I1045&gt;=3.5,"Excellent",I1045&gt;=3,"Good",I1045&gt;=2,"Average",I1045&lt;2,"Poor")</f>
        <v>Excellent</v>
      </c>
      <c r="P1045" t="str">
        <f t="shared" si="65"/>
        <v/>
      </c>
      <c r="Q1045">
        <f t="shared" si="66"/>
        <v>121946</v>
      </c>
      <c r="R1045">
        <v>2023</v>
      </c>
      <c r="X1045">
        <f t="shared" ca="1" si="67"/>
        <v>622</v>
      </c>
    </row>
    <row r="1046" spans="1:24" x14ac:dyDescent="0.25">
      <c r="A1046" t="s">
        <v>2113</v>
      </c>
      <c r="B1046" t="s">
        <v>2114</v>
      </c>
      <c r="C1046" t="s">
        <v>25</v>
      </c>
      <c r="D1046" t="s">
        <v>31</v>
      </c>
      <c r="E1046" s="1">
        <v>45104</v>
      </c>
      <c r="F1046" t="s">
        <v>19</v>
      </c>
      <c r="G1046">
        <v>3344</v>
      </c>
      <c r="H1046">
        <v>5902</v>
      </c>
      <c r="I1046">
        <v>3.46</v>
      </c>
      <c r="J1046">
        <v>75</v>
      </c>
      <c r="M1046" t="str">
        <f t="shared" ca="1" si="64"/>
        <v/>
      </c>
      <c r="N1046" s="3" t="str" cm="1">
        <f t="array" ref="N1046">_xlfn.IFS(I1046&gt;=3.5,"Excellent",I1046&gt;=3,"Good",I1046&gt;=2,"Average",I1046&lt;2,"Poor")</f>
        <v>Good</v>
      </c>
      <c r="P1046" t="str">
        <f t="shared" si="65"/>
        <v>True</v>
      </c>
      <c r="Q1046">
        <f t="shared" si="66"/>
        <v>109575</v>
      </c>
      <c r="R1046">
        <v>2023</v>
      </c>
      <c r="X1046">
        <f t="shared" ca="1" si="67"/>
        <v>745</v>
      </c>
    </row>
    <row r="1047" spans="1:24" x14ac:dyDescent="0.25">
      <c r="A1047" t="s">
        <v>2115</v>
      </c>
      <c r="B1047" t="s">
        <v>2116</v>
      </c>
      <c r="C1047" t="s">
        <v>36</v>
      </c>
      <c r="D1047" t="s">
        <v>13</v>
      </c>
      <c r="E1047" s="1">
        <v>45004</v>
      </c>
      <c r="F1047" t="s">
        <v>14</v>
      </c>
      <c r="G1047">
        <v>10360</v>
      </c>
      <c r="H1047">
        <v>6049</v>
      </c>
      <c r="I1047">
        <v>2.79</v>
      </c>
      <c r="J1047">
        <v>42</v>
      </c>
      <c r="M1047">
        <f t="shared" ca="1" si="64"/>
        <v>845</v>
      </c>
      <c r="N1047" s="3" t="str" cm="1">
        <f t="array" ref="N1047">_xlfn.IFS(I1047&gt;=3.5,"Excellent",I1047&gt;=3,"Good",I1047&gt;=2,"Average",I1047&lt;2,"Poor")</f>
        <v>Average</v>
      </c>
      <c r="P1047" t="str">
        <f t="shared" si="65"/>
        <v>True</v>
      </c>
      <c r="Q1047">
        <f t="shared" si="66"/>
        <v>109575</v>
      </c>
      <c r="R1047">
        <v>2023</v>
      </c>
      <c r="X1047" t="str">
        <f t="shared" ca="1" si="67"/>
        <v/>
      </c>
    </row>
    <row r="1048" spans="1:24" x14ac:dyDescent="0.25">
      <c r="A1048" t="s">
        <v>2117</v>
      </c>
      <c r="B1048" t="s">
        <v>2118</v>
      </c>
      <c r="C1048" t="s">
        <v>54</v>
      </c>
      <c r="D1048" t="s">
        <v>13</v>
      </c>
      <c r="E1048" s="1">
        <v>44764</v>
      </c>
      <c r="F1048" t="s">
        <v>14</v>
      </c>
      <c r="G1048">
        <v>9592</v>
      </c>
      <c r="H1048">
        <v>5292</v>
      </c>
      <c r="I1048">
        <v>3.61</v>
      </c>
      <c r="J1048">
        <v>59</v>
      </c>
      <c r="M1048">
        <f t="shared" ca="1" si="64"/>
        <v>1085</v>
      </c>
      <c r="N1048" s="3" t="str" cm="1">
        <f t="array" ref="N1048">_xlfn.IFS(I1048&gt;=3.5,"Excellent",I1048&gt;=3,"Good",I1048&gt;=2,"Average",I1048&lt;2,"Poor")</f>
        <v>Excellent</v>
      </c>
      <c r="P1048" t="str">
        <f t="shared" si="65"/>
        <v>True</v>
      </c>
      <c r="Q1048">
        <f t="shared" si="66"/>
        <v>109575</v>
      </c>
      <c r="R1048">
        <v>2022</v>
      </c>
      <c r="X1048" t="str">
        <f t="shared" ca="1" si="67"/>
        <v/>
      </c>
    </row>
    <row r="1049" spans="1:24" x14ac:dyDescent="0.25">
      <c r="A1049" t="s">
        <v>2119</v>
      </c>
      <c r="B1049" t="s">
        <v>2120</v>
      </c>
      <c r="C1049" t="s">
        <v>36</v>
      </c>
      <c r="D1049" t="s">
        <v>13</v>
      </c>
      <c r="E1049" s="1">
        <v>44742</v>
      </c>
      <c r="F1049" t="s">
        <v>14</v>
      </c>
      <c r="G1049">
        <v>9512</v>
      </c>
      <c r="H1049">
        <v>2317</v>
      </c>
      <c r="I1049">
        <v>2.98</v>
      </c>
      <c r="J1049">
        <v>56</v>
      </c>
      <c r="M1049">
        <f t="shared" ca="1" si="64"/>
        <v>1107</v>
      </c>
      <c r="N1049" s="3" t="str" cm="1">
        <f t="array" ref="N1049">_xlfn.IFS(I1049&gt;=3.5,"Excellent",I1049&gt;=3,"Good",I1049&gt;=2,"Average",I1049&lt;2,"Poor")</f>
        <v>Average</v>
      </c>
      <c r="P1049" t="str">
        <f t="shared" si="65"/>
        <v/>
      </c>
      <c r="Q1049">
        <f t="shared" si="66"/>
        <v>109575</v>
      </c>
      <c r="R1049">
        <v>2022</v>
      </c>
      <c r="X1049" t="str">
        <f t="shared" ca="1" si="67"/>
        <v/>
      </c>
    </row>
    <row r="1050" spans="1:24" x14ac:dyDescent="0.25">
      <c r="A1050" t="s">
        <v>2121</v>
      </c>
      <c r="B1050" t="s">
        <v>2122</v>
      </c>
      <c r="C1050" t="s">
        <v>57</v>
      </c>
      <c r="D1050" t="s">
        <v>18</v>
      </c>
      <c r="E1050" s="1">
        <v>44765</v>
      </c>
      <c r="F1050" t="s">
        <v>19</v>
      </c>
      <c r="G1050">
        <v>5373</v>
      </c>
      <c r="H1050">
        <v>8186</v>
      </c>
      <c r="I1050">
        <v>2.29</v>
      </c>
      <c r="J1050">
        <v>22</v>
      </c>
      <c r="M1050" t="str">
        <f t="shared" ca="1" si="64"/>
        <v/>
      </c>
      <c r="N1050" s="3" t="str" cm="1">
        <f t="array" ref="N1050">_xlfn.IFS(I1050&gt;=3.5,"Excellent",I1050&gt;=3,"Good",I1050&gt;=2,"Average",I1050&lt;2,"Poor")</f>
        <v>Average</v>
      </c>
      <c r="P1050" t="str">
        <f t="shared" si="65"/>
        <v>True</v>
      </c>
      <c r="Q1050">
        <f t="shared" si="66"/>
        <v>109575</v>
      </c>
      <c r="R1050">
        <v>2022</v>
      </c>
      <c r="X1050">
        <f t="shared" ca="1" si="67"/>
        <v>1084</v>
      </c>
    </row>
    <row r="1051" spans="1:24" x14ac:dyDescent="0.25">
      <c r="A1051" t="s">
        <v>2123</v>
      </c>
      <c r="B1051" t="s">
        <v>2124</v>
      </c>
      <c r="C1051" t="s">
        <v>22</v>
      </c>
      <c r="D1051" t="s">
        <v>18</v>
      </c>
      <c r="E1051" s="1">
        <v>44814</v>
      </c>
      <c r="F1051" t="s">
        <v>19</v>
      </c>
      <c r="G1051">
        <v>5354</v>
      </c>
      <c r="H1051">
        <v>2730</v>
      </c>
      <c r="I1051">
        <v>2.44</v>
      </c>
      <c r="J1051">
        <v>94</v>
      </c>
      <c r="M1051" t="str">
        <f t="shared" ca="1" si="64"/>
        <v/>
      </c>
      <c r="N1051" s="3" t="str" cm="1">
        <f t="array" ref="N1051">_xlfn.IFS(I1051&gt;=3.5,"Excellent",I1051&gt;=3,"Good",I1051&gt;=2,"Average",I1051&lt;2,"Poor")</f>
        <v>Average</v>
      </c>
      <c r="P1051" t="str">
        <f t="shared" si="65"/>
        <v>True</v>
      </c>
      <c r="Q1051">
        <f t="shared" si="66"/>
        <v>104202</v>
      </c>
      <c r="R1051">
        <v>2022</v>
      </c>
      <c r="X1051">
        <f t="shared" ca="1" si="67"/>
        <v>1035</v>
      </c>
    </row>
    <row r="1052" spans="1:24" x14ac:dyDescent="0.25">
      <c r="A1052" t="s">
        <v>2125</v>
      </c>
      <c r="B1052" t="s">
        <v>2126</v>
      </c>
      <c r="C1052" t="s">
        <v>36</v>
      </c>
      <c r="D1052" t="s">
        <v>62</v>
      </c>
      <c r="E1052" s="1">
        <v>44839</v>
      </c>
      <c r="F1052" t="s">
        <v>19</v>
      </c>
      <c r="G1052">
        <v>2479</v>
      </c>
      <c r="H1052">
        <v>1588</v>
      </c>
      <c r="I1052">
        <v>3.71</v>
      </c>
      <c r="J1052">
        <v>100</v>
      </c>
      <c r="M1052" t="str">
        <f t="shared" ca="1" si="64"/>
        <v/>
      </c>
      <c r="N1052" s="3" t="str" cm="1">
        <f t="array" ref="N1052">_xlfn.IFS(I1052&gt;=3.5,"Excellent",I1052&gt;=3,"Good",I1052&gt;=2,"Average",I1052&lt;2,"Poor")</f>
        <v>Excellent</v>
      </c>
      <c r="P1052" t="str">
        <f t="shared" si="65"/>
        <v>True</v>
      </c>
      <c r="Q1052">
        <f t="shared" si="66"/>
        <v>98848</v>
      </c>
      <c r="R1052">
        <v>2022</v>
      </c>
      <c r="X1052">
        <f t="shared" ca="1" si="67"/>
        <v>1010</v>
      </c>
    </row>
    <row r="1053" spans="1:24" x14ac:dyDescent="0.25">
      <c r="A1053" t="s">
        <v>2127</v>
      </c>
      <c r="B1053" t="s">
        <v>2128</v>
      </c>
      <c r="C1053" t="s">
        <v>12</v>
      </c>
      <c r="D1053" t="s">
        <v>62</v>
      </c>
      <c r="E1053" s="1">
        <v>45007</v>
      </c>
      <c r="F1053" t="s">
        <v>39</v>
      </c>
      <c r="G1053">
        <v>6810</v>
      </c>
      <c r="H1053">
        <v>405</v>
      </c>
      <c r="I1053">
        <v>2.94</v>
      </c>
      <c r="J1053">
        <v>46</v>
      </c>
      <c r="M1053" t="str">
        <f t="shared" ca="1" si="64"/>
        <v/>
      </c>
      <c r="N1053" s="3" t="str" cm="1">
        <f t="array" ref="N1053">_xlfn.IFS(I1053&gt;=3.5,"Excellent",I1053&gt;=3,"Good",I1053&gt;=2,"Average",I1053&lt;2,"Poor")</f>
        <v>Average</v>
      </c>
      <c r="P1053" t="str">
        <f t="shared" si="65"/>
        <v/>
      </c>
      <c r="Q1053">
        <f t="shared" si="66"/>
        <v>98848</v>
      </c>
      <c r="R1053">
        <v>2023</v>
      </c>
      <c r="X1053" t="str">
        <f t="shared" ca="1" si="67"/>
        <v/>
      </c>
    </row>
    <row r="1054" spans="1:24" x14ac:dyDescent="0.25">
      <c r="A1054" t="s">
        <v>2129</v>
      </c>
      <c r="B1054" t="s">
        <v>2130</v>
      </c>
      <c r="C1054" t="s">
        <v>12</v>
      </c>
      <c r="D1054" t="s">
        <v>18</v>
      </c>
      <c r="E1054" s="1">
        <v>44718</v>
      </c>
      <c r="F1054" t="s">
        <v>14</v>
      </c>
      <c r="G1054">
        <v>7686</v>
      </c>
      <c r="H1054">
        <v>9818</v>
      </c>
      <c r="I1054">
        <v>2.69</v>
      </c>
      <c r="J1054">
        <v>4</v>
      </c>
      <c r="M1054">
        <f t="shared" ca="1" si="64"/>
        <v>1131</v>
      </c>
      <c r="N1054" s="3" t="str" cm="1">
        <f t="array" ref="N1054">_xlfn.IFS(I1054&gt;=3.5,"Excellent",I1054&gt;=3,"Good",I1054&gt;=2,"Average",I1054&lt;2,"Poor")</f>
        <v>Average</v>
      </c>
      <c r="P1054" t="str">
        <f t="shared" si="65"/>
        <v>True</v>
      </c>
      <c r="Q1054">
        <f t="shared" si="66"/>
        <v>98848</v>
      </c>
      <c r="R1054">
        <v>2022</v>
      </c>
      <c r="X1054" t="str">
        <f t="shared" ca="1" si="67"/>
        <v/>
      </c>
    </row>
    <row r="1055" spans="1:24" x14ac:dyDescent="0.25">
      <c r="A1055" t="s">
        <v>2131</v>
      </c>
      <c r="B1055" t="s">
        <v>2132</v>
      </c>
      <c r="C1055" t="s">
        <v>54</v>
      </c>
      <c r="D1055" t="s">
        <v>13</v>
      </c>
      <c r="E1055" s="1">
        <v>44888</v>
      </c>
      <c r="F1055" t="s">
        <v>14</v>
      </c>
      <c r="G1055">
        <v>7121</v>
      </c>
      <c r="H1055">
        <v>7090</v>
      </c>
      <c r="I1055">
        <v>3.87</v>
      </c>
      <c r="J1055">
        <v>28</v>
      </c>
      <c r="M1055">
        <f t="shared" ca="1" si="64"/>
        <v>961</v>
      </c>
      <c r="N1055" s="3" t="str" cm="1">
        <f t="array" ref="N1055">_xlfn.IFS(I1055&gt;=3.5,"Excellent",I1055&gt;=3,"Good",I1055&gt;=2,"Average",I1055&lt;2,"Poor")</f>
        <v>Excellent</v>
      </c>
      <c r="P1055" t="str">
        <f t="shared" si="65"/>
        <v>True</v>
      </c>
      <c r="Q1055">
        <f t="shared" si="66"/>
        <v>98848</v>
      </c>
      <c r="R1055">
        <v>2022</v>
      </c>
      <c r="X1055" t="str">
        <f t="shared" ca="1" si="67"/>
        <v/>
      </c>
    </row>
    <row r="1056" spans="1:24" x14ac:dyDescent="0.25">
      <c r="A1056" t="s">
        <v>2133</v>
      </c>
      <c r="B1056" t="s">
        <v>2134</v>
      </c>
      <c r="C1056" t="s">
        <v>17</v>
      </c>
      <c r="D1056" t="s">
        <v>31</v>
      </c>
      <c r="E1056" s="1">
        <v>45450</v>
      </c>
      <c r="F1056" t="s">
        <v>19</v>
      </c>
      <c r="G1056">
        <v>3813</v>
      </c>
      <c r="H1056">
        <v>1221</v>
      </c>
      <c r="I1056">
        <v>2.78</v>
      </c>
      <c r="J1056">
        <v>55</v>
      </c>
      <c r="M1056" t="str">
        <f t="shared" ca="1" si="64"/>
        <v/>
      </c>
      <c r="N1056" s="3" t="str" cm="1">
        <f t="array" ref="N1056">_xlfn.IFS(I1056&gt;=3.5,"Excellent",I1056&gt;=3,"Good",I1056&gt;=2,"Average",I1056&lt;2,"Poor")</f>
        <v>Average</v>
      </c>
      <c r="P1056" t="str">
        <f t="shared" si="65"/>
        <v/>
      </c>
      <c r="Q1056">
        <f t="shared" si="66"/>
        <v>98848</v>
      </c>
      <c r="R1056">
        <v>2024</v>
      </c>
      <c r="X1056">
        <f t="shared" ca="1" si="67"/>
        <v>399</v>
      </c>
    </row>
    <row r="1057" spans="1:24" x14ac:dyDescent="0.25">
      <c r="A1057" t="s">
        <v>2135</v>
      </c>
      <c r="B1057" t="s">
        <v>2136</v>
      </c>
      <c r="C1057" t="s">
        <v>57</v>
      </c>
      <c r="D1057" t="s">
        <v>62</v>
      </c>
      <c r="E1057" s="1">
        <v>45410</v>
      </c>
      <c r="F1057" t="s">
        <v>19</v>
      </c>
      <c r="G1057">
        <v>5115</v>
      </c>
      <c r="H1057">
        <v>6700</v>
      </c>
      <c r="I1057">
        <v>3.09</v>
      </c>
      <c r="J1057">
        <v>35</v>
      </c>
      <c r="M1057" t="str">
        <f t="shared" ca="1" si="64"/>
        <v/>
      </c>
      <c r="N1057" s="3" t="str" cm="1">
        <f t="array" ref="N1057">_xlfn.IFS(I1057&gt;=3.5,"Excellent",I1057&gt;=3,"Good",I1057&gt;=2,"Average",I1057&lt;2,"Poor")</f>
        <v>Good</v>
      </c>
      <c r="P1057" t="str">
        <f t="shared" si="65"/>
        <v>True</v>
      </c>
      <c r="Q1057">
        <f t="shared" si="66"/>
        <v>98848</v>
      </c>
      <c r="R1057">
        <v>2024</v>
      </c>
      <c r="X1057">
        <f t="shared" ca="1" si="67"/>
        <v>439</v>
      </c>
    </row>
    <row r="1058" spans="1:24" x14ac:dyDescent="0.25">
      <c r="A1058" t="s">
        <v>2137</v>
      </c>
      <c r="B1058" t="s">
        <v>2138</v>
      </c>
      <c r="C1058" t="s">
        <v>36</v>
      </c>
      <c r="D1058" t="s">
        <v>18</v>
      </c>
      <c r="E1058" s="1">
        <v>44963</v>
      </c>
      <c r="F1058" t="s">
        <v>14</v>
      </c>
      <c r="G1058">
        <v>8897</v>
      </c>
      <c r="H1058">
        <v>2452</v>
      </c>
      <c r="I1058">
        <v>3.51</v>
      </c>
      <c r="J1058">
        <v>90</v>
      </c>
      <c r="M1058">
        <f t="shared" ca="1" si="64"/>
        <v>886</v>
      </c>
      <c r="N1058" s="3" t="str" cm="1">
        <f t="array" ref="N1058">_xlfn.IFS(I1058&gt;=3.5,"Excellent",I1058&gt;=3,"Good",I1058&gt;=2,"Average",I1058&lt;2,"Poor")</f>
        <v>Excellent</v>
      </c>
      <c r="P1058" t="str">
        <f t="shared" si="65"/>
        <v/>
      </c>
      <c r="Q1058">
        <f t="shared" si="66"/>
        <v>98848</v>
      </c>
      <c r="R1058">
        <v>2023</v>
      </c>
      <c r="X1058" t="str">
        <f t="shared" ca="1" si="67"/>
        <v/>
      </c>
    </row>
    <row r="1059" spans="1:24" x14ac:dyDescent="0.25">
      <c r="A1059" t="s">
        <v>2139</v>
      </c>
      <c r="B1059" t="s">
        <v>2140</v>
      </c>
      <c r="C1059" t="s">
        <v>28</v>
      </c>
      <c r="D1059" t="s">
        <v>31</v>
      </c>
      <c r="E1059" s="1">
        <v>45408</v>
      </c>
      <c r="F1059" t="s">
        <v>14</v>
      </c>
      <c r="G1059">
        <v>10286</v>
      </c>
      <c r="H1059">
        <v>8637</v>
      </c>
      <c r="I1059">
        <v>2.17</v>
      </c>
      <c r="J1059">
        <v>76</v>
      </c>
      <c r="M1059">
        <f t="shared" ca="1" si="64"/>
        <v>441</v>
      </c>
      <c r="N1059" s="3" t="str" cm="1">
        <f t="array" ref="N1059">_xlfn.IFS(I1059&gt;=3.5,"Excellent",I1059&gt;=3,"Good",I1059&gt;=2,"Average",I1059&lt;2,"Poor")</f>
        <v>Average</v>
      </c>
      <c r="P1059" t="str">
        <f t="shared" si="65"/>
        <v>True</v>
      </c>
      <c r="Q1059">
        <f t="shared" si="66"/>
        <v>98848</v>
      </c>
      <c r="R1059">
        <v>2024</v>
      </c>
      <c r="X1059" t="str">
        <f t="shared" ca="1" si="67"/>
        <v/>
      </c>
    </row>
    <row r="1060" spans="1:24" x14ac:dyDescent="0.25">
      <c r="A1060" t="s">
        <v>2141</v>
      </c>
      <c r="B1060" t="s">
        <v>2142</v>
      </c>
      <c r="C1060" t="s">
        <v>22</v>
      </c>
      <c r="D1060" t="s">
        <v>31</v>
      </c>
      <c r="E1060" s="1">
        <v>45381</v>
      </c>
      <c r="F1060" t="s">
        <v>19</v>
      </c>
      <c r="G1060">
        <v>6792</v>
      </c>
      <c r="H1060">
        <v>999</v>
      </c>
      <c r="I1060">
        <v>2.19</v>
      </c>
      <c r="J1060">
        <v>6</v>
      </c>
      <c r="M1060" t="str">
        <f t="shared" ca="1" si="64"/>
        <v/>
      </c>
      <c r="N1060" s="3" t="str" cm="1">
        <f t="array" ref="N1060">_xlfn.IFS(I1060&gt;=3.5,"Excellent",I1060&gt;=3,"Good",I1060&gt;=2,"Average",I1060&lt;2,"Poor")</f>
        <v>Average</v>
      </c>
      <c r="P1060" t="str">
        <f t="shared" si="65"/>
        <v/>
      </c>
      <c r="Q1060">
        <f t="shared" si="66"/>
        <v>98848</v>
      </c>
      <c r="R1060">
        <v>2024</v>
      </c>
      <c r="X1060">
        <f t="shared" ca="1" si="67"/>
        <v>468</v>
      </c>
    </row>
    <row r="1061" spans="1:24" x14ac:dyDescent="0.25">
      <c r="A1061" t="s">
        <v>2143</v>
      </c>
      <c r="B1061" t="s">
        <v>2144</v>
      </c>
      <c r="C1061" t="s">
        <v>25</v>
      </c>
      <c r="D1061" t="s">
        <v>62</v>
      </c>
      <c r="E1061" s="1">
        <v>44982</v>
      </c>
      <c r="F1061" t="s">
        <v>14</v>
      </c>
      <c r="G1061">
        <v>9636</v>
      </c>
      <c r="H1061">
        <v>8999</v>
      </c>
      <c r="I1061">
        <v>2.4900000000000002</v>
      </c>
      <c r="J1061">
        <v>46</v>
      </c>
      <c r="M1061">
        <f t="shared" ca="1" si="64"/>
        <v>867</v>
      </c>
      <c r="N1061" s="3" t="str" cm="1">
        <f t="array" ref="N1061">_xlfn.IFS(I1061&gt;=3.5,"Excellent",I1061&gt;=3,"Good",I1061&gt;=2,"Average",I1061&lt;2,"Poor")</f>
        <v>Average</v>
      </c>
      <c r="P1061" t="str">
        <f t="shared" si="65"/>
        <v>True</v>
      </c>
      <c r="Q1061">
        <f t="shared" si="66"/>
        <v>98848</v>
      </c>
      <c r="R1061">
        <v>2023</v>
      </c>
      <c r="X1061" t="str">
        <f t="shared" ca="1" si="67"/>
        <v/>
      </c>
    </row>
    <row r="1062" spans="1:24" x14ac:dyDescent="0.25">
      <c r="A1062" t="s">
        <v>2145</v>
      </c>
      <c r="B1062" t="s">
        <v>2146</v>
      </c>
      <c r="C1062" t="s">
        <v>22</v>
      </c>
      <c r="D1062" t="s">
        <v>62</v>
      </c>
      <c r="E1062" s="1">
        <v>44564</v>
      </c>
      <c r="F1062" t="s">
        <v>14</v>
      </c>
      <c r="G1062">
        <v>14185</v>
      </c>
      <c r="H1062">
        <v>3785</v>
      </c>
      <c r="I1062">
        <v>3.14</v>
      </c>
      <c r="J1062">
        <v>84</v>
      </c>
      <c r="M1062">
        <f t="shared" ca="1" si="64"/>
        <v>1285</v>
      </c>
      <c r="N1062" s="3" t="str" cm="1">
        <f t="array" ref="N1062">_xlfn.IFS(I1062&gt;=3.5,"Excellent",I1062&gt;=3,"Good",I1062&gt;=2,"Average",I1062&lt;2,"Poor")</f>
        <v>Good</v>
      </c>
      <c r="P1062" t="str">
        <f t="shared" si="65"/>
        <v/>
      </c>
      <c r="Q1062">
        <f t="shared" si="66"/>
        <v>98848</v>
      </c>
      <c r="R1062">
        <v>2022</v>
      </c>
      <c r="X1062" t="str">
        <f t="shared" ca="1" si="67"/>
        <v/>
      </c>
    </row>
    <row r="1063" spans="1:24" x14ac:dyDescent="0.25">
      <c r="A1063" t="s">
        <v>2147</v>
      </c>
      <c r="B1063" t="s">
        <v>2148</v>
      </c>
      <c r="C1063" t="s">
        <v>57</v>
      </c>
      <c r="D1063" t="s">
        <v>62</v>
      </c>
      <c r="E1063" s="1">
        <v>45091</v>
      </c>
      <c r="F1063" t="s">
        <v>14</v>
      </c>
      <c r="G1063">
        <v>13293</v>
      </c>
      <c r="H1063">
        <v>9628</v>
      </c>
      <c r="I1063">
        <v>2.66</v>
      </c>
      <c r="J1063">
        <v>99</v>
      </c>
      <c r="M1063">
        <f t="shared" ca="1" si="64"/>
        <v>758</v>
      </c>
      <c r="N1063" s="3" t="str" cm="1">
        <f t="array" ref="N1063">_xlfn.IFS(I1063&gt;=3.5,"Excellent",I1063&gt;=3,"Good",I1063&gt;=2,"Average",I1063&lt;2,"Poor")</f>
        <v>Average</v>
      </c>
      <c r="P1063" t="str">
        <f t="shared" si="65"/>
        <v>True</v>
      </c>
      <c r="Q1063">
        <f t="shared" si="66"/>
        <v>98848</v>
      </c>
      <c r="R1063">
        <v>2023</v>
      </c>
      <c r="X1063" t="str">
        <f t="shared" ca="1" si="67"/>
        <v/>
      </c>
    </row>
    <row r="1064" spans="1:24" x14ac:dyDescent="0.25">
      <c r="A1064" t="s">
        <v>2149</v>
      </c>
      <c r="B1064" t="s">
        <v>2150</v>
      </c>
      <c r="C1064" t="s">
        <v>57</v>
      </c>
      <c r="D1064" t="s">
        <v>18</v>
      </c>
      <c r="E1064" s="1">
        <v>45124</v>
      </c>
      <c r="F1064" t="s">
        <v>19</v>
      </c>
      <c r="G1064">
        <v>7446</v>
      </c>
      <c r="H1064">
        <v>4781</v>
      </c>
      <c r="I1064">
        <v>3.43</v>
      </c>
      <c r="J1064">
        <v>101</v>
      </c>
      <c r="M1064" t="str">
        <f t="shared" ca="1" si="64"/>
        <v/>
      </c>
      <c r="N1064" s="3" t="str" cm="1">
        <f t="array" ref="N1064">_xlfn.IFS(I1064&gt;=3.5,"Excellent",I1064&gt;=3,"Good",I1064&gt;=2,"Average",I1064&lt;2,"Poor")</f>
        <v>Good</v>
      </c>
      <c r="P1064" t="str">
        <f t="shared" si="65"/>
        <v>True</v>
      </c>
      <c r="Q1064">
        <f t="shared" si="66"/>
        <v>98848</v>
      </c>
      <c r="R1064">
        <v>2023</v>
      </c>
      <c r="X1064">
        <f t="shared" ca="1" si="67"/>
        <v>725</v>
      </c>
    </row>
    <row r="1065" spans="1:24" x14ac:dyDescent="0.25">
      <c r="A1065" t="s">
        <v>2151</v>
      </c>
      <c r="B1065" t="s">
        <v>2152</v>
      </c>
      <c r="C1065" t="s">
        <v>28</v>
      </c>
      <c r="D1065" t="s">
        <v>62</v>
      </c>
      <c r="E1065" s="1">
        <v>44849</v>
      </c>
      <c r="F1065" t="s">
        <v>14</v>
      </c>
      <c r="G1065">
        <v>11119</v>
      </c>
      <c r="H1065">
        <v>8712</v>
      </c>
      <c r="I1065">
        <v>3.96</v>
      </c>
      <c r="J1065">
        <v>103</v>
      </c>
      <c r="M1065">
        <f t="shared" ca="1" si="64"/>
        <v>1000</v>
      </c>
      <c r="N1065" s="3" t="str" cm="1">
        <f t="array" ref="N1065">_xlfn.IFS(I1065&gt;=3.5,"Excellent",I1065&gt;=3,"Good",I1065&gt;=2,"Average",I1065&lt;2,"Poor")</f>
        <v>Excellent</v>
      </c>
      <c r="P1065" t="str">
        <f t="shared" si="65"/>
        <v>True</v>
      </c>
      <c r="Q1065">
        <f t="shared" si="66"/>
        <v>91402</v>
      </c>
      <c r="R1065">
        <v>2022</v>
      </c>
      <c r="X1065" t="str">
        <f t="shared" ca="1" si="67"/>
        <v/>
      </c>
    </row>
    <row r="1066" spans="1:24" x14ac:dyDescent="0.25">
      <c r="A1066" t="s">
        <v>2153</v>
      </c>
      <c r="B1066" t="s">
        <v>2154</v>
      </c>
      <c r="C1066" t="s">
        <v>36</v>
      </c>
      <c r="D1066" t="s">
        <v>18</v>
      </c>
      <c r="E1066" s="1">
        <v>44806</v>
      </c>
      <c r="F1066" t="s">
        <v>14</v>
      </c>
      <c r="G1066">
        <v>13651</v>
      </c>
      <c r="H1066">
        <v>6144</v>
      </c>
      <c r="I1066">
        <v>3.84</v>
      </c>
      <c r="J1066">
        <v>76</v>
      </c>
      <c r="M1066">
        <f t="shared" ca="1" si="64"/>
        <v>1043</v>
      </c>
      <c r="N1066" s="3" t="str" cm="1">
        <f t="array" ref="N1066">_xlfn.IFS(I1066&gt;=3.5,"Excellent",I1066&gt;=3,"Good",I1066&gt;=2,"Average",I1066&lt;2,"Poor")</f>
        <v>Excellent</v>
      </c>
      <c r="P1066" t="str">
        <f t="shared" si="65"/>
        <v/>
      </c>
      <c r="Q1066">
        <f t="shared" si="66"/>
        <v>91402</v>
      </c>
      <c r="R1066">
        <v>2022</v>
      </c>
      <c r="X1066" t="str">
        <f t="shared" ca="1" si="67"/>
        <v/>
      </c>
    </row>
    <row r="1067" spans="1:24" x14ac:dyDescent="0.25">
      <c r="A1067" t="s">
        <v>2155</v>
      </c>
      <c r="B1067" t="s">
        <v>2156</v>
      </c>
      <c r="C1067" t="s">
        <v>12</v>
      </c>
      <c r="D1067" t="s">
        <v>62</v>
      </c>
      <c r="E1067" s="1">
        <v>44714</v>
      </c>
      <c r="F1067" t="s">
        <v>14</v>
      </c>
      <c r="G1067">
        <v>4701</v>
      </c>
      <c r="H1067">
        <v>5681</v>
      </c>
      <c r="I1067">
        <v>2.84</v>
      </c>
      <c r="J1067">
        <v>44</v>
      </c>
      <c r="M1067">
        <f t="shared" ca="1" si="64"/>
        <v>1135</v>
      </c>
      <c r="N1067" s="3" t="str" cm="1">
        <f t="array" ref="N1067">_xlfn.IFS(I1067&gt;=3.5,"Excellent",I1067&gt;=3,"Good",I1067&gt;=2,"Average",I1067&lt;2,"Poor")</f>
        <v>Average</v>
      </c>
      <c r="P1067" t="str">
        <f t="shared" si="65"/>
        <v>True</v>
      </c>
      <c r="Q1067">
        <f t="shared" si="66"/>
        <v>91402</v>
      </c>
      <c r="R1067">
        <v>2022</v>
      </c>
      <c r="X1067" t="str">
        <f t="shared" ca="1" si="67"/>
        <v/>
      </c>
    </row>
    <row r="1068" spans="1:24" x14ac:dyDescent="0.25">
      <c r="A1068" t="s">
        <v>2157</v>
      </c>
      <c r="B1068" t="s">
        <v>2158</v>
      </c>
      <c r="C1068" t="s">
        <v>17</v>
      </c>
      <c r="D1068" t="s">
        <v>62</v>
      </c>
      <c r="E1068" s="1">
        <v>45395</v>
      </c>
      <c r="F1068" t="s">
        <v>39</v>
      </c>
      <c r="G1068">
        <v>9016</v>
      </c>
      <c r="H1068">
        <v>7292</v>
      </c>
      <c r="I1068">
        <v>2.7</v>
      </c>
      <c r="J1068">
        <v>5</v>
      </c>
      <c r="M1068" t="str">
        <f t="shared" ca="1" si="64"/>
        <v/>
      </c>
      <c r="N1068" s="3" t="str" cm="1">
        <f t="array" ref="N1068">_xlfn.IFS(I1068&gt;=3.5,"Excellent",I1068&gt;=3,"Good",I1068&gt;=2,"Average",I1068&lt;2,"Poor")</f>
        <v>Average</v>
      </c>
      <c r="P1068" t="str">
        <f t="shared" si="65"/>
        <v>True</v>
      </c>
      <c r="Q1068">
        <f t="shared" si="66"/>
        <v>91402</v>
      </c>
      <c r="R1068">
        <v>2024</v>
      </c>
      <c r="X1068" t="str">
        <f t="shared" ca="1" si="67"/>
        <v/>
      </c>
    </row>
    <row r="1069" spans="1:24" x14ac:dyDescent="0.25">
      <c r="A1069" t="s">
        <v>2159</v>
      </c>
      <c r="B1069" t="s">
        <v>2160</v>
      </c>
      <c r="C1069" t="s">
        <v>54</v>
      </c>
      <c r="D1069" t="s">
        <v>18</v>
      </c>
      <c r="E1069" s="1">
        <v>45120</v>
      </c>
      <c r="F1069" t="s">
        <v>19</v>
      </c>
      <c r="G1069">
        <v>6208</v>
      </c>
      <c r="H1069">
        <v>6067</v>
      </c>
      <c r="I1069">
        <v>3.75</v>
      </c>
      <c r="J1069">
        <v>93</v>
      </c>
      <c r="M1069" t="str">
        <f t="shared" ca="1" si="64"/>
        <v/>
      </c>
      <c r="N1069" s="3" t="str" cm="1">
        <f t="array" ref="N1069">_xlfn.IFS(I1069&gt;=3.5,"Excellent",I1069&gt;=3,"Good",I1069&gt;=2,"Average",I1069&lt;2,"Poor")</f>
        <v>Excellent</v>
      </c>
      <c r="P1069" t="str">
        <f t="shared" si="65"/>
        <v>True</v>
      </c>
      <c r="Q1069">
        <f t="shared" si="66"/>
        <v>91402</v>
      </c>
      <c r="R1069">
        <v>2023</v>
      </c>
      <c r="X1069">
        <f t="shared" ca="1" si="67"/>
        <v>729</v>
      </c>
    </row>
    <row r="1070" spans="1:24" x14ac:dyDescent="0.25">
      <c r="A1070" t="s">
        <v>2161</v>
      </c>
      <c r="B1070" t="s">
        <v>2162</v>
      </c>
      <c r="C1070" t="s">
        <v>28</v>
      </c>
      <c r="D1070" t="s">
        <v>13</v>
      </c>
      <c r="E1070" s="1">
        <v>45090</v>
      </c>
      <c r="F1070" t="s">
        <v>19</v>
      </c>
      <c r="G1070">
        <v>5697</v>
      </c>
      <c r="H1070">
        <v>3573</v>
      </c>
      <c r="I1070">
        <v>3.77</v>
      </c>
      <c r="J1070">
        <v>79</v>
      </c>
      <c r="M1070" t="str">
        <f t="shared" ca="1" si="64"/>
        <v/>
      </c>
      <c r="N1070" s="3" t="str" cm="1">
        <f t="array" ref="N1070">_xlfn.IFS(I1070&gt;=3.5,"Excellent",I1070&gt;=3,"Good",I1070&gt;=2,"Average",I1070&lt;2,"Poor")</f>
        <v>Excellent</v>
      </c>
      <c r="P1070" t="str">
        <f t="shared" si="65"/>
        <v>True</v>
      </c>
      <c r="Q1070">
        <f t="shared" si="66"/>
        <v>85194</v>
      </c>
      <c r="R1070">
        <v>2023</v>
      </c>
      <c r="X1070">
        <f t="shared" ca="1" si="67"/>
        <v>759</v>
      </c>
    </row>
    <row r="1071" spans="1:24" x14ac:dyDescent="0.25">
      <c r="A1071" t="s">
        <v>2163</v>
      </c>
      <c r="B1071" t="s">
        <v>2164</v>
      </c>
      <c r="C1071" t="s">
        <v>22</v>
      </c>
      <c r="D1071" t="s">
        <v>31</v>
      </c>
      <c r="E1071" s="1">
        <v>44568</v>
      </c>
      <c r="F1071" t="s">
        <v>14</v>
      </c>
      <c r="G1071">
        <v>14742</v>
      </c>
      <c r="H1071">
        <v>445</v>
      </c>
      <c r="I1071">
        <v>2.5499999999999998</v>
      </c>
      <c r="J1071">
        <v>6</v>
      </c>
      <c r="M1071">
        <f t="shared" ca="1" si="64"/>
        <v>1281</v>
      </c>
      <c r="N1071" s="3" t="str" cm="1">
        <f t="array" ref="N1071">_xlfn.IFS(I1071&gt;=3.5,"Excellent",I1071&gt;=3,"Good",I1071&gt;=2,"Average",I1071&lt;2,"Poor")</f>
        <v>Average</v>
      </c>
      <c r="P1071" t="str">
        <f t="shared" si="65"/>
        <v/>
      </c>
      <c r="Q1071">
        <f t="shared" si="66"/>
        <v>85194</v>
      </c>
      <c r="R1071">
        <v>2022</v>
      </c>
      <c r="X1071" t="str">
        <f t="shared" ca="1" si="67"/>
        <v/>
      </c>
    </row>
    <row r="1072" spans="1:24" x14ac:dyDescent="0.25">
      <c r="A1072" t="s">
        <v>2165</v>
      </c>
      <c r="B1072" t="s">
        <v>2166</v>
      </c>
      <c r="C1072" t="s">
        <v>54</v>
      </c>
      <c r="D1072" t="s">
        <v>62</v>
      </c>
      <c r="E1072" s="1">
        <v>44740</v>
      </c>
      <c r="F1072" t="s">
        <v>19</v>
      </c>
      <c r="G1072">
        <v>2296</v>
      </c>
      <c r="H1072">
        <v>325</v>
      </c>
      <c r="I1072">
        <v>2.64</v>
      </c>
      <c r="J1072">
        <v>71</v>
      </c>
      <c r="M1072" t="str">
        <f t="shared" ca="1" si="64"/>
        <v/>
      </c>
      <c r="N1072" s="3" t="str" cm="1">
        <f t="array" ref="N1072">_xlfn.IFS(I1072&gt;=3.5,"Excellent",I1072&gt;=3,"Good",I1072&gt;=2,"Average",I1072&lt;2,"Poor")</f>
        <v>Average</v>
      </c>
      <c r="P1072" t="str">
        <f t="shared" si="65"/>
        <v/>
      </c>
      <c r="Q1072">
        <f t="shared" si="66"/>
        <v>85194</v>
      </c>
      <c r="R1072">
        <v>2022</v>
      </c>
      <c r="X1072">
        <f t="shared" ca="1" si="67"/>
        <v>1109</v>
      </c>
    </row>
    <row r="1073" spans="1:24" x14ac:dyDescent="0.25">
      <c r="A1073" t="s">
        <v>2167</v>
      </c>
      <c r="B1073" t="s">
        <v>2168</v>
      </c>
      <c r="C1073" t="s">
        <v>57</v>
      </c>
      <c r="D1073" t="s">
        <v>62</v>
      </c>
      <c r="E1073" s="1">
        <v>45231</v>
      </c>
      <c r="F1073" t="s">
        <v>14</v>
      </c>
      <c r="G1073">
        <v>10330</v>
      </c>
      <c r="H1073">
        <v>5973</v>
      </c>
      <c r="I1073">
        <v>2.65</v>
      </c>
      <c r="J1073">
        <v>50</v>
      </c>
      <c r="M1073">
        <f t="shared" ca="1" si="64"/>
        <v>618</v>
      </c>
      <c r="N1073" s="3" t="str" cm="1">
        <f t="array" ref="N1073">_xlfn.IFS(I1073&gt;=3.5,"Excellent",I1073&gt;=3,"Good",I1073&gt;=2,"Average",I1073&lt;2,"Poor")</f>
        <v>Average</v>
      </c>
      <c r="P1073" t="str">
        <f t="shared" si="65"/>
        <v>True</v>
      </c>
      <c r="Q1073">
        <f t="shared" si="66"/>
        <v>85194</v>
      </c>
      <c r="R1073">
        <v>2023</v>
      </c>
      <c r="X1073" t="str">
        <f t="shared" ca="1" si="67"/>
        <v/>
      </c>
    </row>
    <row r="1074" spans="1:24" x14ac:dyDescent="0.25">
      <c r="A1074" t="s">
        <v>2169</v>
      </c>
      <c r="B1074" t="s">
        <v>2170</v>
      </c>
      <c r="C1074" t="s">
        <v>28</v>
      </c>
      <c r="D1074" t="s">
        <v>13</v>
      </c>
      <c r="E1074" s="1">
        <v>45271</v>
      </c>
      <c r="F1074" t="s">
        <v>39</v>
      </c>
      <c r="G1074">
        <v>2000</v>
      </c>
      <c r="H1074">
        <v>8608</v>
      </c>
      <c r="I1074">
        <v>3.95</v>
      </c>
      <c r="J1074">
        <v>2</v>
      </c>
      <c r="M1074" t="str">
        <f t="shared" ca="1" si="64"/>
        <v/>
      </c>
      <c r="N1074" s="3" t="str" cm="1">
        <f t="array" ref="N1074">_xlfn.IFS(I1074&gt;=3.5,"Excellent",I1074&gt;=3,"Good",I1074&gt;=2,"Average",I1074&lt;2,"Poor")</f>
        <v>Excellent</v>
      </c>
      <c r="P1074" t="str">
        <f t="shared" si="65"/>
        <v>True</v>
      </c>
      <c r="Q1074">
        <f t="shared" si="66"/>
        <v>85194</v>
      </c>
      <c r="R1074">
        <v>2023</v>
      </c>
      <c r="X1074" t="str">
        <f t="shared" ca="1" si="67"/>
        <v/>
      </c>
    </row>
    <row r="1075" spans="1:24" x14ac:dyDescent="0.25">
      <c r="A1075" t="s">
        <v>2171</v>
      </c>
      <c r="B1075" t="s">
        <v>2172</v>
      </c>
      <c r="C1075" t="s">
        <v>57</v>
      </c>
      <c r="D1075" t="s">
        <v>18</v>
      </c>
      <c r="E1075" s="1">
        <v>44982</v>
      </c>
      <c r="F1075" t="s">
        <v>19</v>
      </c>
      <c r="G1075">
        <v>8970</v>
      </c>
      <c r="H1075">
        <v>6430</v>
      </c>
      <c r="I1075">
        <v>2.04</v>
      </c>
      <c r="J1075">
        <v>97</v>
      </c>
      <c r="M1075" t="str">
        <f t="shared" ca="1" si="64"/>
        <v/>
      </c>
      <c r="N1075" s="3" t="str" cm="1">
        <f t="array" ref="N1075">_xlfn.IFS(I1075&gt;=3.5,"Excellent",I1075&gt;=3,"Good",I1075&gt;=2,"Average",I1075&lt;2,"Poor")</f>
        <v>Average</v>
      </c>
      <c r="P1075" t="str">
        <f t="shared" si="65"/>
        <v>True</v>
      </c>
      <c r="Q1075">
        <f t="shared" si="66"/>
        <v>85194</v>
      </c>
      <c r="R1075">
        <v>2023</v>
      </c>
      <c r="X1075">
        <f t="shared" ca="1" si="67"/>
        <v>867</v>
      </c>
    </row>
    <row r="1076" spans="1:24" x14ac:dyDescent="0.25">
      <c r="A1076" t="s">
        <v>2173</v>
      </c>
      <c r="B1076" t="s">
        <v>2174</v>
      </c>
      <c r="C1076" t="s">
        <v>57</v>
      </c>
      <c r="D1076" t="s">
        <v>18</v>
      </c>
      <c r="E1076" s="1">
        <v>45126</v>
      </c>
      <c r="F1076" t="s">
        <v>19</v>
      </c>
      <c r="G1076">
        <v>5560</v>
      </c>
      <c r="H1076">
        <v>6629</v>
      </c>
      <c r="I1076">
        <v>2.4700000000000002</v>
      </c>
      <c r="J1076">
        <v>66</v>
      </c>
      <c r="M1076" t="str">
        <f t="shared" ca="1" si="64"/>
        <v/>
      </c>
      <c r="N1076" s="3" t="str" cm="1">
        <f t="array" ref="N1076">_xlfn.IFS(I1076&gt;=3.5,"Excellent",I1076&gt;=3,"Good",I1076&gt;=2,"Average",I1076&lt;2,"Poor")</f>
        <v>Average</v>
      </c>
      <c r="P1076" t="str">
        <f t="shared" si="65"/>
        <v>True</v>
      </c>
      <c r="Q1076">
        <f t="shared" si="66"/>
        <v>76224</v>
      </c>
      <c r="R1076">
        <v>2023</v>
      </c>
      <c r="X1076">
        <f t="shared" ca="1" si="67"/>
        <v>723</v>
      </c>
    </row>
    <row r="1077" spans="1:24" x14ac:dyDescent="0.25">
      <c r="A1077" t="s">
        <v>2175</v>
      </c>
      <c r="B1077" t="s">
        <v>2176</v>
      </c>
      <c r="C1077" t="s">
        <v>12</v>
      </c>
      <c r="D1077" t="s">
        <v>13</v>
      </c>
      <c r="E1077" s="1">
        <v>45196</v>
      </c>
      <c r="F1077" t="s">
        <v>14</v>
      </c>
      <c r="G1077">
        <v>7903</v>
      </c>
      <c r="H1077">
        <v>897</v>
      </c>
      <c r="I1077">
        <v>2.0699999999999998</v>
      </c>
      <c r="J1077">
        <v>110</v>
      </c>
      <c r="M1077">
        <f t="shared" ca="1" si="64"/>
        <v>653</v>
      </c>
      <c r="N1077" s="3" t="str" cm="1">
        <f t="array" ref="N1077">_xlfn.IFS(I1077&gt;=3.5,"Excellent",I1077&gt;=3,"Good",I1077&gt;=2,"Average",I1077&lt;2,"Poor")</f>
        <v>Average</v>
      </c>
      <c r="P1077" t="str">
        <f t="shared" si="65"/>
        <v/>
      </c>
      <c r="Q1077">
        <f t="shared" si="66"/>
        <v>70664</v>
      </c>
      <c r="R1077">
        <v>2023</v>
      </c>
      <c r="X1077" t="str">
        <f t="shared" ca="1" si="67"/>
        <v/>
      </c>
    </row>
    <row r="1078" spans="1:24" x14ac:dyDescent="0.25">
      <c r="A1078" t="s">
        <v>2177</v>
      </c>
      <c r="B1078" t="s">
        <v>2178</v>
      </c>
      <c r="C1078" t="s">
        <v>57</v>
      </c>
      <c r="D1078" t="s">
        <v>31</v>
      </c>
      <c r="E1078" s="1">
        <v>45104</v>
      </c>
      <c r="F1078" t="s">
        <v>14</v>
      </c>
      <c r="G1078">
        <v>4119</v>
      </c>
      <c r="H1078">
        <v>8833</v>
      </c>
      <c r="I1078">
        <v>3.31</v>
      </c>
      <c r="J1078">
        <v>74</v>
      </c>
      <c r="M1078">
        <f t="shared" ca="1" si="64"/>
        <v>745</v>
      </c>
      <c r="N1078" s="3" t="str" cm="1">
        <f t="array" ref="N1078">_xlfn.IFS(I1078&gt;=3.5,"Excellent",I1078&gt;=3,"Good",I1078&gt;=2,"Average",I1078&lt;2,"Poor")</f>
        <v>Good</v>
      </c>
      <c r="P1078" t="str">
        <f t="shared" si="65"/>
        <v>True</v>
      </c>
      <c r="Q1078">
        <f t="shared" si="66"/>
        <v>70664</v>
      </c>
      <c r="R1078">
        <v>2023</v>
      </c>
      <c r="X1078" t="str">
        <f t="shared" ca="1" si="67"/>
        <v/>
      </c>
    </row>
    <row r="1079" spans="1:24" x14ac:dyDescent="0.25">
      <c r="A1079" t="s">
        <v>2179</v>
      </c>
      <c r="B1079" t="s">
        <v>2180</v>
      </c>
      <c r="C1079" t="s">
        <v>28</v>
      </c>
      <c r="D1079" t="s">
        <v>62</v>
      </c>
      <c r="E1079" s="1">
        <v>45378</v>
      </c>
      <c r="F1079" t="s">
        <v>39</v>
      </c>
      <c r="G1079">
        <v>7853</v>
      </c>
      <c r="H1079">
        <v>2032</v>
      </c>
      <c r="I1079">
        <v>3.33</v>
      </c>
      <c r="J1079">
        <v>96</v>
      </c>
      <c r="M1079" t="str">
        <f t="shared" ca="1" si="64"/>
        <v/>
      </c>
      <c r="N1079" s="3" t="str" cm="1">
        <f t="array" ref="N1079">_xlfn.IFS(I1079&gt;=3.5,"Excellent",I1079&gt;=3,"Good",I1079&gt;=2,"Average",I1079&lt;2,"Poor")</f>
        <v>Good</v>
      </c>
      <c r="P1079" t="str">
        <f t="shared" si="65"/>
        <v/>
      </c>
      <c r="Q1079">
        <f t="shared" si="66"/>
        <v>70664</v>
      </c>
      <c r="R1079">
        <v>2024</v>
      </c>
      <c r="X1079" t="str">
        <f t="shared" ca="1" si="67"/>
        <v/>
      </c>
    </row>
    <row r="1080" spans="1:24" x14ac:dyDescent="0.25">
      <c r="A1080" t="s">
        <v>2181</v>
      </c>
      <c r="B1080" t="s">
        <v>2182</v>
      </c>
      <c r="C1080" t="s">
        <v>12</v>
      </c>
      <c r="D1080" t="s">
        <v>13</v>
      </c>
      <c r="E1080" s="1">
        <v>44918</v>
      </c>
      <c r="F1080" t="s">
        <v>39</v>
      </c>
      <c r="G1080">
        <v>7107</v>
      </c>
      <c r="H1080">
        <v>1911</v>
      </c>
      <c r="I1080">
        <v>2.87</v>
      </c>
      <c r="J1080">
        <v>73</v>
      </c>
      <c r="M1080" t="str">
        <f t="shared" ca="1" si="64"/>
        <v/>
      </c>
      <c r="N1080" s="3" t="str" cm="1">
        <f t="array" ref="N1080">_xlfn.IFS(I1080&gt;=3.5,"Excellent",I1080&gt;=3,"Good",I1080&gt;=2,"Average",I1080&lt;2,"Poor")</f>
        <v>Average</v>
      </c>
      <c r="P1080" t="str">
        <f t="shared" si="65"/>
        <v/>
      </c>
      <c r="Q1080">
        <f t="shared" si="66"/>
        <v>70664</v>
      </c>
      <c r="R1080">
        <v>2022</v>
      </c>
      <c r="X1080" t="str">
        <f t="shared" ca="1" si="67"/>
        <v/>
      </c>
    </row>
    <row r="1081" spans="1:24" x14ac:dyDescent="0.25">
      <c r="A1081" t="s">
        <v>2183</v>
      </c>
      <c r="B1081" t="s">
        <v>2184</v>
      </c>
      <c r="C1081" t="s">
        <v>17</v>
      </c>
      <c r="D1081" t="s">
        <v>18</v>
      </c>
      <c r="E1081" s="1">
        <v>45385</v>
      </c>
      <c r="F1081" t="s">
        <v>14</v>
      </c>
      <c r="G1081">
        <v>3245</v>
      </c>
      <c r="H1081">
        <v>6823</v>
      </c>
      <c r="I1081">
        <v>2.5</v>
      </c>
      <c r="J1081">
        <v>16</v>
      </c>
      <c r="M1081">
        <f t="shared" ca="1" si="64"/>
        <v>464</v>
      </c>
      <c r="N1081" s="3" t="str" cm="1">
        <f t="array" ref="N1081">_xlfn.IFS(I1081&gt;=3.5,"Excellent",I1081&gt;=3,"Good",I1081&gt;=2,"Average",I1081&lt;2,"Poor")</f>
        <v>Average</v>
      </c>
      <c r="P1081" t="str">
        <f t="shared" si="65"/>
        <v>True</v>
      </c>
      <c r="Q1081">
        <f t="shared" si="66"/>
        <v>70664</v>
      </c>
      <c r="R1081">
        <v>2024</v>
      </c>
      <c r="X1081" t="str">
        <f t="shared" ca="1" si="67"/>
        <v/>
      </c>
    </row>
    <row r="1082" spans="1:24" x14ac:dyDescent="0.25">
      <c r="A1082" t="s">
        <v>2185</v>
      </c>
      <c r="B1082" t="s">
        <v>2186</v>
      </c>
      <c r="C1082" t="s">
        <v>17</v>
      </c>
      <c r="D1082" t="s">
        <v>13</v>
      </c>
      <c r="E1082" s="1">
        <v>45387</v>
      </c>
      <c r="F1082" t="s">
        <v>14</v>
      </c>
      <c r="G1082">
        <v>4892</v>
      </c>
      <c r="H1082">
        <v>7034</v>
      </c>
      <c r="I1082">
        <v>3.83</v>
      </c>
      <c r="J1082">
        <v>43</v>
      </c>
      <c r="M1082">
        <f t="shared" ca="1" si="64"/>
        <v>462</v>
      </c>
      <c r="N1082" s="3" t="str" cm="1">
        <f t="array" ref="N1082">_xlfn.IFS(I1082&gt;=3.5,"Excellent",I1082&gt;=3,"Good",I1082&gt;=2,"Average",I1082&lt;2,"Poor")</f>
        <v>Excellent</v>
      </c>
      <c r="P1082" t="str">
        <f t="shared" si="65"/>
        <v>True</v>
      </c>
      <c r="Q1082">
        <f t="shared" si="66"/>
        <v>70664</v>
      </c>
      <c r="R1082">
        <v>2024</v>
      </c>
      <c r="X1082" t="str">
        <f t="shared" ca="1" si="67"/>
        <v/>
      </c>
    </row>
    <row r="1083" spans="1:24" x14ac:dyDescent="0.25">
      <c r="A1083" t="s">
        <v>2187</v>
      </c>
      <c r="B1083" t="s">
        <v>2188</v>
      </c>
      <c r="C1083" t="s">
        <v>54</v>
      </c>
      <c r="D1083" t="s">
        <v>62</v>
      </c>
      <c r="E1083" s="1">
        <v>44846</v>
      </c>
      <c r="F1083" t="s">
        <v>14</v>
      </c>
      <c r="G1083">
        <v>5130</v>
      </c>
      <c r="H1083">
        <v>9628</v>
      </c>
      <c r="I1083">
        <v>2.56</v>
      </c>
      <c r="J1083">
        <v>113</v>
      </c>
      <c r="M1083">
        <f t="shared" ca="1" si="64"/>
        <v>1003</v>
      </c>
      <c r="N1083" s="3" t="str" cm="1">
        <f t="array" ref="N1083">_xlfn.IFS(I1083&gt;=3.5,"Excellent",I1083&gt;=3,"Good",I1083&gt;=2,"Average",I1083&lt;2,"Poor")</f>
        <v>Average</v>
      </c>
      <c r="P1083" t="str">
        <f t="shared" si="65"/>
        <v>True</v>
      </c>
      <c r="Q1083">
        <f t="shared" si="66"/>
        <v>70664</v>
      </c>
      <c r="R1083">
        <v>2022</v>
      </c>
      <c r="X1083" t="str">
        <f t="shared" ca="1" si="67"/>
        <v/>
      </c>
    </row>
    <row r="1084" spans="1:24" x14ac:dyDescent="0.25">
      <c r="A1084" t="s">
        <v>2189</v>
      </c>
      <c r="B1084" t="s">
        <v>2190</v>
      </c>
      <c r="C1084" t="s">
        <v>25</v>
      </c>
      <c r="D1084" t="s">
        <v>62</v>
      </c>
      <c r="E1084" s="1">
        <v>44831</v>
      </c>
      <c r="F1084" t="s">
        <v>14</v>
      </c>
      <c r="G1084">
        <v>12773</v>
      </c>
      <c r="H1084">
        <v>1546</v>
      </c>
      <c r="I1084">
        <v>3.89</v>
      </c>
      <c r="J1084">
        <v>96</v>
      </c>
      <c r="M1084">
        <f t="shared" ca="1" si="64"/>
        <v>1018</v>
      </c>
      <c r="N1084" s="3" t="str" cm="1">
        <f t="array" ref="N1084">_xlfn.IFS(I1084&gt;=3.5,"Excellent",I1084&gt;=3,"Good",I1084&gt;=2,"Average",I1084&lt;2,"Poor")</f>
        <v>Excellent</v>
      </c>
      <c r="P1084" t="str">
        <f t="shared" si="65"/>
        <v/>
      </c>
      <c r="Q1084">
        <f t="shared" si="66"/>
        <v>70664</v>
      </c>
      <c r="R1084">
        <v>2022</v>
      </c>
      <c r="X1084" t="str">
        <f t="shared" ca="1" si="67"/>
        <v/>
      </c>
    </row>
    <row r="1085" spans="1:24" x14ac:dyDescent="0.25">
      <c r="A1085" t="s">
        <v>2191</v>
      </c>
      <c r="B1085" t="s">
        <v>2192</v>
      </c>
      <c r="C1085" t="s">
        <v>54</v>
      </c>
      <c r="D1085" t="s">
        <v>18</v>
      </c>
      <c r="E1085" s="1">
        <v>44758</v>
      </c>
      <c r="F1085" t="s">
        <v>19</v>
      </c>
      <c r="G1085">
        <v>11415</v>
      </c>
      <c r="H1085">
        <v>2626</v>
      </c>
      <c r="I1085">
        <v>3.4</v>
      </c>
      <c r="J1085">
        <v>5</v>
      </c>
      <c r="M1085" t="str">
        <f t="shared" ca="1" si="64"/>
        <v/>
      </c>
      <c r="N1085" s="3" t="str" cm="1">
        <f t="array" ref="N1085">_xlfn.IFS(I1085&gt;=3.5,"Excellent",I1085&gt;=3,"Good",I1085&gt;=2,"Average",I1085&lt;2,"Poor")</f>
        <v>Good</v>
      </c>
      <c r="P1085" t="str">
        <f t="shared" si="65"/>
        <v/>
      </c>
      <c r="Q1085">
        <f t="shared" si="66"/>
        <v>70664</v>
      </c>
      <c r="R1085">
        <v>2022</v>
      </c>
      <c r="X1085">
        <f t="shared" ca="1" si="67"/>
        <v>1091</v>
      </c>
    </row>
    <row r="1086" spans="1:24" x14ac:dyDescent="0.25">
      <c r="A1086" t="s">
        <v>2193</v>
      </c>
      <c r="B1086" t="s">
        <v>2194</v>
      </c>
      <c r="C1086" t="s">
        <v>54</v>
      </c>
      <c r="D1086" t="s">
        <v>62</v>
      </c>
      <c r="E1086" s="1">
        <v>44772</v>
      </c>
      <c r="F1086" t="s">
        <v>14</v>
      </c>
      <c r="G1086">
        <v>8463</v>
      </c>
      <c r="H1086">
        <v>6739</v>
      </c>
      <c r="I1086">
        <v>3.87</v>
      </c>
      <c r="J1086">
        <v>33</v>
      </c>
      <c r="M1086">
        <f t="shared" ca="1" si="64"/>
        <v>1077</v>
      </c>
      <c r="N1086" s="3" t="str" cm="1">
        <f t="array" ref="N1086">_xlfn.IFS(I1086&gt;=3.5,"Excellent",I1086&gt;=3,"Good",I1086&gt;=2,"Average",I1086&lt;2,"Poor")</f>
        <v>Excellent</v>
      </c>
      <c r="P1086" t="str">
        <f t="shared" si="65"/>
        <v>True</v>
      </c>
      <c r="Q1086">
        <f t="shared" si="66"/>
        <v>59249</v>
      </c>
      <c r="R1086">
        <v>2022</v>
      </c>
      <c r="X1086" t="str">
        <f t="shared" ca="1" si="67"/>
        <v/>
      </c>
    </row>
    <row r="1087" spans="1:24" x14ac:dyDescent="0.25">
      <c r="A1087" t="s">
        <v>2195</v>
      </c>
      <c r="B1087" t="s">
        <v>2196</v>
      </c>
      <c r="C1087" t="s">
        <v>36</v>
      </c>
      <c r="D1087" t="s">
        <v>62</v>
      </c>
      <c r="E1087" s="1">
        <v>44618</v>
      </c>
      <c r="F1087" t="s">
        <v>14</v>
      </c>
      <c r="G1087">
        <v>13713</v>
      </c>
      <c r="H1087">
        <v>3304</v>
      </c>
      <c r="I1087">
        <v>3.81</v>
      </c>
      <c r="J1087">
        <v>54</v>
      </c>
      <c r="M1087">
        <f t="shared" ca="1" si="64"/>
        <v>1231</v>
      </c>
      <c r="N1087" s="3" t="str" cm="1">
        <f t="array" ref="N1087">_xlfn.IFS(I1087&gt;=3.5,"Excellent",I1087&gt;=3,"Good",I1087&gt;=2,"Average",I1087&lt;2,"Poor")</f>
        <v>Excellent</v>
      </c>
      <c r="P1087" t="str">
        <f t="shared" si="65"/>
        <v/>
      </c>
      <c r="Q1087">
        <f t="shared" si="66"/>
        <v>59249</v>
      </c>
      <c r="R1087">
        <v>2022</v>
      </c>
      <c r="X1087" t="str">
        <f t="shared" ca="1" si="67"/>
        <v/>
      </c>
    </row>
    <row r="1088" spans="1:24" x14ac:dyDescent="0.25">
      <c r="A1088" t="s">
        <v>2197</v>
      </c>
      <c r="B1088" t="s">
        <v>2198</v>
      </c>
      <c r="C1088" t="s">
        <v>28</v>
      </c>
      <c r="D1088" t="s">
        <v>62</v>
      </c>
      <c r="E1088" s="1">
        <v>44594</v>
      </c>
      <c r="F1088" t="s">
        <v>14</v>
      </c>
      <c r="G1088">
        <v>10725</v>
      </c>
      <c r="H1088">
        <v>6124</v>
      </c>
      <c r="I1088">
        <v>3.94</v>
      </c>
      <c r="J1088">
        <v>41</v>
      </c>
      <c r="M1088">
        <f t="shared" ca="1" si="64"/>
        <v>1255</v>
      </c>
      <c r="N1088" s="3" t="str" cm="1">
        <f t="array" ref="N1088">_xlfn.IFS(I1088&gt;=3.5,"Excellent",I1088&gt;=3,"Good",I1088&gt;=2,"Average",I1088&lt;2,"Poor")</f>
        <v>Excellent</v>
      </c>
      <c r="P1088" t="str">
        <f t="shared" si="65"/>
        <v>True</v>
      </c>
      <c r="Q1088">
        <f t="shared" si="66"/>
        <v>59249</v>
      </c>
      <c r="R1088">
        <v>2022</v>
      </c>
      <c r="X1088" t="str">
        <f t="shared" ca="1" si="67"/>
        <v/>
      </c>
    </row>
    <row r="1089" spans="1:24" x14ac:dyDescent="0.25">
      <c r="A1089" t="s">
        <v>2199</v>
      </c>
      <c r="B1089" t="s">
        <v>2200</v>
      </c>
      <c r="C1089" t="s">
        <v>17</v>
      </c>
      <c r="D1089" t="s">
        <v>62</v>
      </c>
      <c r="E1089" s="1">
        <v>45105</v>
      </c>
      <c r="F1089" t="s">
        <v>39</v>
      </c>
      <c r="G1089">
        <v>11630</v>
      </c>
      <c r="H1089">
        <v>7578</v>
      </c>
      <c r="I1089">
        <v>3.65</v>
      </c>
      <c r="J1089">
        <v>111</v>
      </c>
      <c r="M1089" t="str">
        <f t="shared" ca="1" si="64"/>
        <v/>
      </c>
      <c r="N1089" s="3" t="str" cm="1">
        <f t="array" ref="N1089">_xlfn.IFS(I1089&gt;=3.5,"Excellent",I1089&gt;=3,"Good",I1089&gt;=2,"Average",I1089&lt;2,"Poor")</f>
        <v>Excellent</v>
      </c>
      <c r="P1089" t="str">
        <f t="shared" si="65"/>
        <v>True</v>
      </c>
      <c r="Q1089">
        <f t="shared" si="66"/>
        <v>59249</v>
      </c>
      <c r="R1089">
        <v>2023</v>
      </c>
      <c r="X1089" t="str">
        <f t="shared" ca="1" si="67"/>
        <v/>
      </c>
    </row>
    <row r="1090" spans="1:24" x14ac:dyDescent="0.25">
      <c r="A1090" t="s">
        <v>2201</v>
      </c>
      <c r="B1090" t="s">
        <v>2202</v>
      </c>
      <c r="C1090" t="s">
        <v>54</v>
      </c>
      <c r="D1090" t="s">
        <v>31</v>
      </c>
      <c r="E1090" s="1">
        <v>45413</v>
      </c>
      <c r="F1090" t="s">
        <v>14</v>
      </c>
      <c r="G1090">
        <v>12478</v>
      </c>
      <c r="H1090">
        <v>8335</v>
      </c>
      <c r="I1090">
        <v>3.01</v>
      </c>
      <c r="J1090">
        <v>22</v>
      </c>
      <c r="M1090">
        <f t="shared" ca="1" si="64"/>
        <v>436</v>
      </c>
      <c r="N1090" s="3" t="str" cm="1">
        <f t="array" ref="N1090">_xlfn.IFS(I1090&gt;=3.5,"Excellent",I1090&gt;=3,"Good",I1090&gt;=2,"Average",I1090&lt;2,"Poor")</f>
        <v>Good</v>
      </c>
      <c r="P1090" t="str">
        <f t="shared" si="65"/>
        <v>True</v>
      </c>
      <c r="Q1090">
        <f t="shared" si="66"/>
        <v>59249</v>
      </c>
      <c r="R1090">
        <v>2024</v>
      </c>
      <c r="X1090" t="str">
        <f t="shared" ca="1" si="67"/>
        <v/>
      </c>
    </row>
    <row r="1091" spans="1:24" x14ac:dyDescent="0.25">
      <c r="A1091" t="s">
        <v>2203</v>
      </c>
      <c r="B1091" t="s">
        <v>2204</v>
      </c>
      <c r="C1091" t="s">
        <v>22</v>
      </c>
      <c r="D1091" t="s">
        <v>62</v>
      </c>
      <c r="E1091" s="1">
        <v>44725</v>
      </c>
      <c r="F1091" t="s">
        <v>39</v>
      </c>
      <c r="G1091">
        <v>8685</v>
      </c>
      <c r="H1091">
        <v>2204</v>
      </c>
      <c r="I1091">
        <v>2.29</v>
      </c>
      <c r="J1091">
        <v>1</v>
      </c>
      <c r="M1091" t="str">
        <f t="shared" ref="M1091:M1154" ca="1" si="68">IF(F1091="Enrolled",TODAY()-E1091,"")</f>
        <v/>
      </c>
      <c r="N1091" s="3" t="str" cm="1">
        <f t="array" ref="N1091">_xlfn.IFS(I1091&gt;=3.5,"Excellent",I1091&gt;=3,"Good",I1091&gt;=2,"Average",I1091&lt;2,"Poor")</f>
        <v>Average</v>
      </c>
      <c r="P1091" t="str">
        <f t="shared" ref="P1091:P1154" si="69">IF(H1091&gt;0.5*G1091,"True","")</f>
        <v/>
      </c>
      <c r="Q1091">
        <f t="shared" ref="Q1091:Q1154" si="70">SUMIFS(G1091:G2290,F1091:F2290,"Completed",D1091:D2290,"Science")</f>
        <v>59249</v>
      </c>
      <c r="R1091">
        <v>2022</v>
      </c>
      <c r="X1091" t="str">
        <f t="shared" ref="X1091:X1154" ca="1" si="71">IF(F1091="Completed",TODAY()-E1091,"")</f>
        <v/>
      </c>
    </row>
    <row r="1092" spans="1:24" x14ac:dyDescent="0.25">
      <c r="A1092" t="s">
        <v>2205</v>
      </c>
      <c r="B1092" t="s">
        <v>2206</v>
      </c>
      <c r="C1092" t="s">
        <v>36</v>
      </c>
      <c r="D1092" t="s">
        <v>62</v>
      </c>
      <c r="E1092" s="1">
        <v>44983</v>
      </c>
      <c r="F1092" t="s">
        <v>14</v>
      </c>
      <c r="G1092">
        <v>6591</v>
      </c>
      <c r="H1092">
        <v>8495</v>
      </c>
      <c r="I1092">
        <v>2.29</v>
      </c>
      <c r="J1092">
        <v>46</v>
      </c>
      <c r="M1092">
        <f t="shared" ca="1" si="68"/>
        <v>866</v>
      </c>
      <c r="N1092" s="3" t="str" cm="1">
        <f t="array" ref="N1092">_xlfn.IFS(I1092&gt;=3.5,"Excellent",I1092&gt;=3,"Good",I1092&gt;=2,"Average",I1092&lt;2,"Poor")</f>
        <v>Average</v>
      </c>
      <c r="P1092" t="str">
        <f t="shared" si="69"/>
        <v>True</v>
      </c>
      <c r="Q1092">
        <f t="shared" si="70"/>
        <v>59249</v>
      </c>
      <c r="R1092">
        <v>2023</v>
      </c>
      <c r="X1092" t="str">
        <f t="shared" ca="1" si="71"/>
        <v/>
      </c>
    </row>
    <row r="1093" spans="1:24" x14ac:dyDescent="0.25">
      <c r="A1093" t="s">
        <v>2207</v>
      </c>
      <c r="B1093" t="s">
        <v>2208</v>
      </c>
      <c r="C1093" t="s">
        <v>36</v>
      </c>
      <c r="D1093" t="s">
        <v>62</v>
      </c>
      <c r="E1093" s="1">
        <v>44983</v>
      </c>
      <c r="F1093" t="s">
        <v>14</v>
      </c>
      <c r="G1093">
        <v>8141</v>
      </c>
      <c r="H1093">
        <v>7905</v>
      </c>
      <c r="I1093">
        <v>2.77</v>
      </c>
      <c r="J1093">
        <v>46</v>
      </c>
      <c r="M1093">
        <f t="shared" ca="1" si="68"/>
        <v>866</v>
      </c>
      <c r="N1093" s="3" t="str" cm="1">
        <f t="array" ref="N1093">_xlfn.IFS(I1093&gt;=3.5,"Excellent",I1093&gt;=3,"Good",I1093&gt;=2,"Average",I1093&lt;2,"Poor")</f>
        <v>Average</v>
      </c>
      <c r="P1093" t="str">
        <f t="shared" si="69"/>
        <v>True</v>
      </c>
      <c r="Q1093">
        <f t="shared" si="70"/>
        <v>59249</v>
      </c>
      <c r="R1093">
        <v>2023</v>
      </c>
      <c r="X1093" t="str">
        <f t="shared" ca="1" si="71"/>
        <v/>
      </c>
    </row>
    <row r="1094" spans="1:24" x14ac:dyDescent="0.25">
      <c r="A1094" t="s">
        <v>2209</v>
      </c>
      <c r="B1094" t="s">
        <v>2210</v>
      </c>
      <c r="C1094" t="s">
        <v>17</v>
      </c>
      <c r="D1094" t="s">
        <v>31</v>
      </c>
      <c r="E1094" s="1">
        <v>44635</v>
      </c>
      <c r="F1094" t="s">
        <v>14</v>
      </c>
      <c r="G1094">
        <v>3019</v>
      </c>
      <c r="H1094">
        <v>6321</v>
      </c>
      <c r="I1094">
        <v>2.82</v>
      </c>
      <c r="J1094">
        <v>79</v>
      </c>
      <c r="M1094">
        <f t="shared" ca="1" si="68"/>
        <v>1214</v>
      </c>
      <c r="N1094" s="3" t="str" cm="1">
        <f t="array" ref="N1094">_xlfn.IFS(I1094&gt;=3.5,"Excellent",I1094&gt;=3,"Good",I1094&gt;=2,"Average",I1094&lt;2,"Poor")</f>
        <v>Average</v>
      </c>
      <c r="P1094" t="str">
        <f t="shared" si="69"/>
        <v>True</v>
      </c>
      <c r="Q1094">
        <f t="shared" si="70"/>
        <v>59249</v>
      </c>
      <c r="R1094">
        <v>2022</v>
      </c>
      <c r="X1094" t="str">
        <f t="shared" ca="1" si="71"/>
        <v/>
      </c>
    </row>
    <row r="1095" spans="1:24" x14ac:dyDescent="0.25">
      <c r="A1095" t="s">
        <v>2211</v>
      </c>
      <c r="B1095" t="s">
        <v>2212</v>
      </c>
      <c r="C1095" t="s">
        <v>57</v>
      </c>
      <c r="D1095" t="s">
        <v>31</v>
      </c>
      <c r="E1095" s="1">
        <v>45283</v>
      </c>
      <c r="F1095" t="s">
        <v>19</v>
      </c>
      <c r="G1095">
        <v>8929</v>
      </c>
      <c r="H1095">
        <v>7083</v>
      </c>
      <c r="I1095">
        <v>2.68</v>
      </c>
      <c r="J1095">
        <v>104</v>
      </c>
      <c r="M1095" t="str">
        <f t="shared" ca="1" si="68"/>
        <v/>
      </c>
      <c r="N1095" s="3" t="str" cm="1">
        <f t="array" ref="N1095">_xlfn.IFS(I1095&gt;=3.5,"Excellent",I1095&gt;=3,"Good",I1095&gt;=2,"Average",I1095&lt;2,"Poor")</f>
        <v>Average</v>
      </c>
      <c r="P1095" t="str">
        <f t="shared" si="69"/>
        <v>True</v>
      </c>
      <c r="Q1095">
        <f t="shared" si="70"/>
        <v>59249</v>
      </c>
      <c r="R1095">
        <v>2023</v>
      </c>
      <c r="X1095">
        <f t="shared" ca="1" si="71"/>
        <v>566</v>
      </c>
    </row>
    <row r="1096" spans="1:24" x14ac:dyDescent="0.25">
      <c r="A1096" t="s">
        <v>2213</v>
      </c>
      <c r="B1096" t="s">
        <v>2214</v>
      </c>
      <c r="C1096" t="s">
        <v>57</v>
      </c>
      <c r="D1096" t="s">
        <v>62</v>
      </c>
      <c r="E1096" s="1">
        <v>44576</v>
      </c>
      <c r="F1096" t="s">
        <v>14</v>
      </c>
      <c r="G1096">
        <v>11878</v>
      </c>
      <c r="H1096">
        <v>4182</v>
      </c>
      <c r="I1096">
        <v>3.52</v>
      </c>
      <c r="J1096">
        <v>96</v>
      </c>
      <c r="M1096">
        <f t="shared" ca="1" si="68"/>
        <v>1273</v>
      </c>
      <c r="N1096" s="3" t="str" cm="1">
        <f t="array" ref="N1096">_xlfn.IFS(I1096&gt;=3.5,"Excellent",I1096&gt;=3,"Good",I1096&gt;=2,"Average",I1096&lt;2,"Poor")</f>
        <v>Excellent</v>
      </c>
      <c r="P1096" t="str">
        <f t="shared" si="69"/>
        <v/>
      </c>
      <c r="Q1096">
        <f t="shared" si="70"/>
        <v>59249</v>
      </c>
      <c r="R1096">
        <v>2022</v>
      </c>
      <c r="X1096" t="str">
        <f t="shared" ca="1" si="71"/>
        <v/>
      </c>
    </row>
    <row r="1097" spans="1:24" x14ac:dyDescent="0.25">
      <c r="A1097" t="s">
        <v>2215</v>
      </c>
      <c r="B1097" t="s">
        <v>2216</v>
      </c>
      <c r="C1097" t="s">
        <v>36</v>
      </c>
      <c r="D1097" t="s">
        <v>13</v>
      </c>
      <c r="E1097" s="1">
        <v>45259</v>
      </c>
      <c r="F1097" t="s">
        <v>19</v>
      </c>
      <c r="G1097">
        <v>11961</v>
      </c>
      <c r="H1097">
        <v>8528</v>
      </c>
      <c r="I1097">
        <v>3.72</v>
      </c>
      <c r="J1097">
        <v>16</v>
      </c>
      <c r="M1097" t="str">
        <f t="shared" ca="1" si="68"/>
        <v/>
      </c>
      <c r="N1097" s="3" t="str" cm="1">
        <f t="array" ref="N1097">_xlfn.IFS(I1097&gt;=3.5,"Excellent",I1097&gt;=3,"Good",I1097&gt;=2,"Average",I1097&lt;2,"Poor")</f>
        <v>Excellent</v>
      </c>
      <c r="P1097" t="str">
        <f t="shared" si="69"/>
        <v>True</v>
      </c>
      <c r="Q1097">
        <f t="shared" si="70"/>
        <v>59249</v>
      </c>
      <c r="R1097">
        <v>2023</v>
      </c>
      <c r="X1097">
        <f t="shared" ca="1" si="71"/>
        <v>590</v>
      </c>
    </row>
    <row r="1098" spans="1:24" x14ac:dyDescent="0.25">
      <c r="A1098" t="s">
        <v>2217</v>
      </c>
      <c r="B1098" t="s">
        <v>2218</v>
      </c>
      <c r="C1098" t="s">
        <v>12</v>
      </c>
      <c r="D1098" t="s">
        <v>13</v>
      </c>
      <c r="E1098" s="1">
        <v>44721</v>
      </c>
      <c r="F1098" t="s">
        <v>19</v>
      </c>
      <c r="G1098">
        <v>14062</v>
      </c>
      <c r="H1098">
        <v>9193</v>
      </c>
      <c r="I1098">
        <v>3.07</v>
      </c>
      <c r="J1098">
        <v>103</v>
      </c>
      <c r="M1098" t="str">
        <f t="shared" ca="1" si="68"/>
        <v/>
      </c>
      <c r="N1098" s="3" t="str" cm="1">
        <f t="array" ref="N1098">_xlfn.IFS(I1098&gt;=3.5,"Excellent",I1098&gt;=3,"Good",I1098&gt;=2,"Average",I1098&lt;2,"Poor")</f>
        <v>Good</v>
      </c>
      <c r="P1098" t="str">
        <f t="shared" si="69"/>
        <v>True</v>
      </c>
      <c r="Q1098">
        <f t="shared" si="70"/>
        <v>59249</v>
      </c>
      <c r="R1098">
        <v>2022</v>
      </c>
      <c r="X1098">
        <f t="shared" ca="1" si="71"/>
        <v>1128</v>
      </c>
    </row>
    <row r="1099" spans="1:24" x14ac:dyDescent="0.25">
      <c r="A1099" t="s">
        <v>2219</v>
      </c>
      <c r="B1099" t="s">
        <v>2220</v>
      </c>
      <c r="C1099" t="s">
        <v>57</v>
      </c>
      <c r="D1099" t="s">
        <v>31</v>
      </c>
      <c r="E1099" s="1">
        <v>44780</v>
      </c>
      <c r="F1099" t="s">
        <v>19</v>
      </c>
      <c r="G1099">
        <v>7312</v>
      </c>
      <c r="H1099">
        <v>8464</v>
      </c>
      <c r="I1099">
        <v>2.74</v>
      </c>
      <c r="J1099">
        <v>104</v>
      </c>
      <c r="M1099" t="str">
        <f t="shared" ca="1" si="68"/>
        <v/>
      </c>
      <c r="N1099" s="3" t="str" cm="1">
        <f t="array" ref="N1099">_xlfn.IFS(I1099&gt;=3.5,"Excellent",I1099&gt;=3,"Good",I1099&gt;=2,"Average",I1099&lt;2,"Poor")</f>
        <v>Average</v>
      </c>
      <c r="P1099" t="str">
        <f t="shared" si="69"/>
        <v>True</v>
      </c>
      <c r="Q1099">
        <f t="shared" si="70"/>
        <v>59249</v>
      </c>
      <c r="R1099">
        <v>2022</v>
      </c>
      <c r="X1099">
        <f t="shared" ca="1" si="71"/>
        <v>1069</v>
      </c>
    </row>
    <row r="1100" spans="1:24" x14ac:dyDescent="0.25">
      <c r="A1100" t="s">
        <v>2221</v>
      </c>
      <c r="B1100" t="s">
        <v>2222</v>
      </c>
      <c r="C1100" t="s">
        <v>57</v>
      </c>
      <c r="D1100" t="s">
        <v>31</v>
      </c>
      <c r="E1100" s="1">
        <v>45023</v>
      </c>
      <c r="F1100" t="s">
        <v>14</v>
      </c>
      <c r="G1100">
        <v>5745</v>
      </c>
      <c r="H1100">
        <v>499</v>
      </c>
      <c r="I1100">
        <v>3.1</v>
      </c>
      <c r="J1100">
        <v>31</v>
      </c>
      <c r="M1100">
        <f t="shared" ca="1" si="68"/>
        <v>826</v>
      </c>
      <c r="N1100" s="3" t="str" cm="1">
        <f t="array" ref="N1100">_xlfn.IFS(I1100&gt;=3.5,"Excellent",I1100&gt;=3,"Good",I1100&gt;=2,"Average",I1100&lt;2,"Poor")</f>
        <v>Good</v>
      </c>
      <c r="P1100" t="str">
        <f t="shared" si="69"/>
        <v/>
      </c>
      <c r="Q1100">
        <f t="shared" si="70"/>
        <v>59249</v>
      </c>
      <c r="R1100">
        <v>2023</v>
      </c>
      <c r="X1100" t="str">
        <f t="shared" ca="1" si="71"/>
        <v/>
      </c>
    </row>
    <row r="1101" spans="1:24" x14ac:dyDescent="0.25">
      <c r="A1101" t="s">
        <v>2223</v>
      </c>
      <c r="B1101" t="s">
        <v>2224</v>
      </c>
      <c r="C1101" t="s">
        <v>17</v>
      </c>
      <c r="D1101" t="s">
        <v>62</v>
      </c>
      <c r="E1101" s="1">
        <v>44726</v>
      </c>
      <c r="F1101" t="s">
        <v>39</v>
      </c>
      <c r="G1101">
        <v>6844</v>
      </c>
      <c r="H1101">
        <v>1405</v>
      </c>
      <c r="I1101">
        <v>3.05</v>
      </c>
      <c r="J1101">
        <v>44</v>
      </c>
      <c r="M1101" t="str">
        <f t="shared" ca="1" si="68"/>
        <v/>
      </c>
      <c r="N1101" s="3" t="str" cm="1">
        <f t="array" ref="N1101">_xlfn.IFS(I1101&gt;=3.5,"Excellent",I1101&gt;=3,"Good",I1101&gt;=2,"Average",I1101&lt;2,"Poor")</f>
        <v>Good</v>
      </c>
      <c r="P1101" t="str">
        <f t="shared" si="69"/>
        <v/>
      </c>
      <c r="Q1101">
        <f t="shared" si="70"/>
        <v>59249</v>
      </c>
      <c r="R1101">
        <v>2022</v>
      </c>
      <c r="X1101" t="str">
        <f t="shared" ca="1" si="71"/>
        <v/>
      </c>
    </row>
    <row r="1102" spans="1:24" x14ac:dyDescent="0.25">
      <c r="A1102" t="s">
        <v>2225</v>
      </c>
      <c r="B1102" t="s">
        <v>2226</v>
      </c>
      <c r="C1102" t="s">
        <v>57</v>
      </c>
      <c r="D1102" t="s">
        <v>18</v>
      </c>
      <c r="E1102" s="1">
        <v>44753</v>
      </c>
      <c r="F1102" t="s">
        <v>14</v>
      </c>
      <c r="G1102">
        <v>13054</v>
      </c>
      <c r="H1102">
        <v>4741</v>
      </c>
      <c r="I1102">
        <v>3.54</v>
      </c>
      <c r="J1102">
        <v>31</v>
      </c>
      <c r="M1102">
        <f t="shared" ca="1" si="68"/>
        <v>1096</v>
      </c>
      <c r="N1102" s="3" t="str" cm="1">
        <f t="array" ref="N1102">_xlfn.IFS(I1102&gt;=3.5,"Excellent",I1102&gt;=3,"Good",I1102&gt;=2,"Average",I1102&lt;2,"Poor")</f>
        <v>Excellent</v>
      </c>
      <c r="P1102" t="str">
        <f t="shared" si="69"/>
        <v/>
      </c>
      <c r="Q1102">
        <f t="shared" si="70"/>
        <v>59249</v>
      </c>
      <c r="R1102">
        <v>2022</v>
      </c>
      <c r="X1102" t="str">
        <f t="shared" ca="1" si="71"/>
        <v/>
      </c>
    </row>
    <row r="1103" spans="1:24" x14ac:dyDescent="0.25">
      <c r="A1103" t="s">
        <v>2227</v>
      </c>
      <c r="B1103" t="s">
        <v>2228</v>
      </c>
      <c r="C1103" t="s">
        <v>36</v>
      </c>
      <c r="D1103" t="s">
        <v>31</v>
      </c>
      <c r="E1103" s="1">
        <v>45007</v>
      </c>
      <c r="F1103" t="s">
        <v>14</v>
      </c>
      <c r="G1103">
        <v>10986</v>
      </c>
      <c r="H1103">
        <v>8048</v>
      </c>
      <c r="I1103">
        <v>3.16</v>
      </c>
      <c r="J1103">
        <v>70</v>
      </c>
      <c r="M1103">
        <f t="shared" ca="1" si="68"/>
        <v>842</v>
      </c>
      <c r="N1103" s="3" t="str" cm="1">
        <f t="array" ref="N1103">_xlfn.IFS(I1103&gt;=3.5,"Excellent",I1103&gt;=3,"Good",I1103&gt;=2,"Average",I1103&lt;2,"Poor")</f>
        <v>Good</v>
      </c>
      <c r="P1103" t="str">
        <f t="shared" si="69"/>
        <v>True</v>
      </c>
      <c r="Q1103">
        <f t="shared" si="70"/>
        <v>59249</v>
      </c>
      <c r="R1103">
        <v>2023</v>
      </c>
      <c r="X1103" t="str">
        <f t="shared" ca="1" si="71"/>
        <v/>
      </c>
    </row>
    <row r="1104" spans="1:24" x14ac:dyDescent="0.25">
      <c r="A1104" t="s">
        <v>2229</v>
      </c>
      <c r="B1104" t="s">
        <v>2230</v>
      </c>
      <c r="C1104" t="s">
        <v>17</v>
      </c>
      <c r="D1104" t="s">
        <v>18</v>
      </c>
      <c r="E1104" s="1">
        <v>45421</v>
      </c>
      <c r="F1104" t="s">
        <v>39</v>
      </c>
      <c r="G1104">
        <v>3798</v>
      </c>
      <c r="H1104">
        <v>1392</v>
      </c>
      <c r="I1104">
        <v>2.2999999999999998</v>
      </c>
      <c r="J1104">
        <v>98</v>
      </c>
      <c r="M1104" t="str">
        <f t="shared" ca="1" si="68"/>
        <v/>
      </c>
      <c r="N1104" s="3" t="str" cm="1">
        <f t="array" ref="N1104">_xlfn.IFS(I1104&gt;=3.5,"Excellent",I1104&gt;=3,"Good",I1104&gt;=2,"Average",I1104&lt;2,"Poor")</f>
        <v>Average</v>
      </c>
      <c r="P1104" t="str">
        <f t="shared" si="69"/>
        <v/>
      </c>
      <c r="Q1104">
        <f t="shared" si="70"/>
        <v>59249</v>
      </c>
      <c r="R1104">
        <v>2024</v>
      </c>
      <c r="X1104" t="str">
        <f t="shared" ca="1" si="71"/>
        <v/>
      </c>
    </row>
    <row r="1105" spans="1:24" x14ac:dyDescent="0.25">
      <c r="A1105" t="s">
        <v>2231</v>
      </c>
      <c r="B1105" t="s">
        <v>2232</v>
      </c>
      <c r="C1105" t="s">
        <v>54</v>
      </c>
      <c r="D1105" t="s">
        <v>13</v>
      </c>
      <c r="E1105" s="1">
        <v>45332</v>
      </c>
      <c r="F1105" t="s">
        <v>19</v>
      </c>
      <c r="G1105">
        <v>8999</v>
      </c>
      <c r="H1105">
        <v>7122</v>
      </c>
      <c r="I1105">
        <v>2.0499999999999998</v>
      </c>
      <c r="J1105">
        <v>115</v>
      </c>
      <c r="M1105" t="str">
        <f t="shared" ca="1" si="68"/>
        <v/>
      </c>
      <c r="N1105" s="3" t="str" cm="1">
        <f t="array" ref="N1105">_xlfn.IFS(I1105&gt;=3.5,"Excellent",I1105&gt;=3,"Good",I1105&gt;=2,"Average",I1105&lt;2,"Poor")</f>
        <v>Average</v>
      </c>
      <c r="P1105" t="str">
        <f t="shared" si="69"/>
        <v>True</v>
      </c>
      <c r="Q1105">
        <f t="shared" si="70"/>
        <v>59249</v>
      </c>
      <c r="R1105">
        <v>2024</v>
      </c>
      <c r="X1105">
        <f t="shared" ca="1" si="71"/>
        <v>517</v>
      </c>
    </row>
    <row r="1106" spans="1:24" x14ac:dyDescent="0.25">
      <c r="A1106" t="s">
        <v>2233</v>
      </c>
      <c r="B1106" t="s">
        <v>2234</v>
      </c>
      <c r="C1106" t="s">
        <v>12</v>
      </c>
      <c r="D1106" t="s">
        <v>62</v>
      </c>
      <c r="E1106" s="1">
        <v>44649</v>
      </c>
      <c r="F1106" t="s">
        <v>14</v>
      </c>
      <c r="G1106">
        <v>4243</v>
      </c>
      <c r="H1106">
        <v>6445</v>
      </c>
      <c r="I1106">
        <v>3.32</v>
      </c>
      <c r="J1106">
        <v>18</v>
      </c>
      <c r="M1106">
        <f t="shared" ca="1" si="68"/>
        <v>1200</v>
      </c>
      <c r="N1106" s="3" t="str" cm="1">
        <f t="array" ref="N1106">_xlfn.IFS(I1106&gt;=3.5,"Excellent",I1106&gt;=3,"Good",I1106&gt;=2,"Average",I1106&lt;2,"Poor")</f>
        <v>Good</v>
      </c>
      <c r="P1106" t="str">
        <f t="shared" si="69"/>
        <v>True</v>
      </c>
      <c r="Q1106">
        <f t="shared" si="70"/>
        <v>59249</v>
      </c>
      <c r="R1106">
        <v>2022</v>
      </c>
      <c r="X1106" t="str">
        <f t="shared" ca="1" si="71"/>
        <v/>
      </c>
    </row>
    <row r="1107" spans="1:24" x14ac:dyDescent="0.25">
      <c r="A1107" t="s">
        <v>2235</v>
      </c>
      <c r="B1107" t="s">
        <v>2236</v>
      </c>
      <c r="C1107" t="s">
        <v>12</v>
      </c>
      <c r="D1107" t="s">
        <v>13</v>
      </c>
      <c r="E1107" s="1">
        <v>45071</v>
      </c>
      <c r="F1107" t="s">
        <v>19</v>
      </c>
      <c r="G1107">
        <v>2171</v>
      </c>
      <c r="H1107">
        <v>2358</v>
      </c>
      <c r="I1107">
        <v>2.4500000000000002</v>
      </c>
      <c r="J1107">
        <v>31</v>
      </c>
      <c r="M1107" t="str">
        <f t="shared" ca="1" si="68"/>
        <v/>
      </c>
      <c r="N1107" s="3" t="str" cm="1">
        <f t="array" ref="N1107">_xlfn.IFS(I1107&gt;=3.5,"Excellent",I1107&gt;=3,"Good",I1107&gt;=2,"Average",I1107&lt;2,"Poor")</f>
        <v>Average</v>
      </c>
      <c r="P1107" t="str">
        <f t="shared" si="69"/>
        <v>True</v>
      </c>
      <c r="Q1107">
        <f t="shared" si="70"/>
        <v>59249</v>
      </c>
      <c r="R1107">
        <v>2023</v>
      </c>
      <c r="X1107">
        <f t="shared" ca="1" si="71"/>
        <v>778</v>
      </c>
    </row>
    <row r="1108" spans="1:24" x14ac:dyDescent="0.25">
      <c r="A1108" t="s">
        <v>2237</v>
      </c>
      <c r="B1108" t="s">
        <v>2238</v>
      </c>
      <c r="C1108" t="s">
        <v>25</v>
      </c>
      <c r="D1108" t="s">
        <v>62</v>
      </c>
      <c r="E1108" s="1">
        <v>44839</v>
      </c>
      <c r="F1108" t="s">
        <v>19</v>
      </c>
      <c r="G1108">
        <v>4746</v>
      </c>
      <c r="H1108">
        <v>1220</v>
      </c>
      <c r="I1108">
        <v>3.26</v>
      </c>
      <c r="J1108">
        <v>10</v>
      </c>
      <c r="M1108" t="str">
        <f t="shared" ca="1" si="68"/>
        <v/>
      </c>
      <c r="N1108" s="3" t="str" cm="1">
        <f t="array" ref="N1108">_xlfn.IFS(I1108&gt;=3.5,"Excellent",I1108&gt;=3,"Good",I1108&gt;=2,"Average",I1108&lt;2,"Poor")</f>
        <v>Good</v>
      </c>
      <c r="P1108" t="str">
        <f t="shared" si="69"/>
        <v/>
      </c>
      <c r="Q1108">
        <f t="shared" si="70"/>
        <v>59249</v>
      </c>
      <c r="R1108">
        <v>2022</v>
      </c>
      <c r="X1108">
        <f t="shared" ca="1" si="71"/>
        <v>1010</v>
      </c>
    </row>
    <row r="1109" spans="1:24" x14ac:dyDescent="0.25">
      <c r="A1109" t="s">
        <v>2239</v>
      </c>
      <c r="B1109" t="s">
        <v>2240</v>
      </c>
      <c r="C1109" t="s">
        <v>17</v>
      </c>
      <c r="D1109" t="s">
        <v>18</v>
      </c>
      <c r="E1109" s="1">
        <v>45329</v>
      </c>
      <c r="F1109" t="s">
        <v>14</v>
      </c>
      <c r="G1109">
        <v>5813</v>
      </c>
      <c r="H1109">
        <v>8271</v>
      </c>
      <c r="I1109">
        <v>3.89</v>
      </c>
      <c r="J1109">
        <v>13</v>
      </c>
      <c r="M1109">
        <f t="shared" ca="1" si="68"/>
        <v>520</v>
      </c>
      <c r="N1109" s="3" t="str" cm="1">
        <f t="array" ref="N1109">_xlfn.IFS(I1109&gt;=3.5,"Excellent",I1109&gt;=3,"Good",I1109&gt;=2,"Average",I1109&lt;2,"Poor")</f>
        <v>Excellent</v>
      </c>
      <c r="P1109" t="str">
        <f t="shared" si="69"/>
        <v>True</v>
      </c>
      <c r="Q1109">
        <f t="shared" si="70"/>
        <v>59249</v>
      </c>
      <c r="R1109">
        <v>2024</v>
      </c>
      <c r="X1109" t="str">
        <f t="shared" ca="1" si="71"/>
        <v/>
      </c>
    </row>
    <row r="1110" spans="1:24" x14ac:dyDescent="0.25">
      <c r="A1110" t="s">
        <v>2241</v>
      </c>
      <c r="B1110" t="s">
        <v>2242</v>
      </c>
      <c r="C1110" t="s">
        <v>36</v>
      </c>
      <c r="D1110" t="s">
        <v>13</v>
      </c>
      <c r="E1110" s="1">
        <v>44599</v>
      </c>
      <c r="F1110" t="s">
        <v>14</v>
      </c>
      <c r="G1110">
        <v>11997</v>
      </c>
      <c r="H1110">
        <v>3979</v>
      </c>
      <c r="I1110">
        <v>3.75</v>
      </c>
      <c r="J1110">
        <v>81</v>
      </c>
      <c r="M1110">
        <f t="shared" ca="1" si="68"/>
        <v>1250</v>
      </c>
      <c r="N1110" s="3" t="str" cm="1">
        <f t="array" ref="N1110">_xlfn.IFS(I1110&gt;=3.5,"Excellent",I1110&gt;=3,"Good",I1110&gt;=2,"Average",I1110&lt;2,"Poor")</f>
        <v>Excellent</v>
      </c>
      <c r="P1110" t="str">
        <f t="shared" si="69"/>
        <v/>
      </c>
      <c r="Q1110">
        <f t="shared" si="70"/>
        <v>59249</v>
      </c>
      <c r="R1110">
        <v>2022</v>
      </c>
      <c r="X1110" t="str">
        <f t="shared" ca="1" si="71"/>
        <v/>
      </c>
    </row>
    <row r="1111" spans="1:24" x14ac:dyDescent="0.25">
      <c r="A1111" t="s">
        <v>2243</v>
      </c>
      <c r="B1111" t="s">
        <v>2244</v>
      </c>
      <c r="C1111" t="s">
        <v>36</v>
      </c>
      <c r="D1111" t="s">
        <v>31</v>
      </c>
      <c r="E1111" s="1">
        <v>44891</v>
      </c>
      <c r="F1111" t="s">
        <v>19</v>
      </c>
      <c r="G1111">
        <v>3129</v>
      </c>
      <c r="H1111">
        <v>3377</v>
      </c>
      <c r="I1111">
        <v>2.92</v>
      </c>
      <c r="J1111">
        <v>94</v>
      </c>
      <c r="M1111" t="str">
        <f t="shared" ca="1" si="68"/>
        <v/>
      </c>
      <c r="N1111" s="3" t="str" cm="1">
        <f t="array" ref="N1111">_xlfn.IFS(I1111&gt;=3.5,"Excellent",I1111&gt;=3,"Good",I1111&gt;=2,"Average",I1111&lt;2,"Poor")</f>
        <v>Average</v>
      </c>
      <c r="P1111" t="str">
        <f t="shared" si="69"/>
        <v>True</v>
      </c>
      <c r="Q1111">
        <f t="shared" si="70"/>
        <v>59249</v>
      </c>
      <c r="R1111">
        <v>2022</v>
      </c>
      <c r="X1111">
        <f t="shared" ca="1" si="71"/>
        <v>958</v>
      </c>
    </row>
    <row r="1112" spans="1:24" x14ac:dyDescent="0.25">
      <c r="A1112" t="s">
        <v>2245</v>
      </c>
      <c r="B1112" t="s">
        <v>2246</v>
      </c>
      <c r="C1112" t="s">
        <v>22</v>
      </c>
      <c r="D1112" t="s">
        <v>62</v>
      </c>
      <c r="E1112" s="1">
        <v>45278</v>
      </c>
      <c r="F1112" t="s">
        <v>14</v>
      </c>
      <c r="G1112">
        <v>4829</v>
      </c>
      <c r="H1112">
        <v>2463</v>
      </c>
      <c r="I1112">
        <v>3.81</v>
      </c>
      <c r="J1112">
        <v>71</v>
      </c>
      <c r="M1112">
        <f t="shared" ca="1" si="68"/>
        <v>571</v>
      </c>
      <c r="N1112" s="3" t="str" cm="1">
        <f t="array" ref="N1112">_xlfn.IFS(I1112&gt;=3.5,"Excellent",I1112&gt;=3,"Good",I1112&gt;=2,"Average",I1112&lt;2,"Poor")</f>
        <v>Excellent</v>
      </c>
      <c r="P1112" t="str">
        <f t="shared" si="69"/>
        <v>True</v>
      </c>
      <c r="Q1112">
        <f t="shared" si="70"/>
        <v>59249</v>
      </c>
      <c r="R1112">
        <v>2023</v>
      </c>
      <c r="X1112" t="str">
        <f t="shared" ca="1" si="71"/>
        <v/>
      </c>
    </row>
    <row r="1113" spans="1:24" x14ac:dyDescent="0.25">
      <c r="A1113" t="s">
        <v>2247</v>
      </c>
      <c r="B1113" t="s">
        <v>2248</v>
      </c>
      <c r="C1113" t="s">
        <v>17</v>
      </c>
      <c r="D1113" t="s">
        <v>31</v>
      </c>
      <c r="E1113" s="1">
        <v>45270</v>
      </c>
      <c r="F1113" t="s">
        <v>14</v>
      </c>
      <c r="G1113">
        <v>13773</v>
      </c>
      <c r="H1113">
        <v>9595</v>
      </c>
      <c r="I1113">
        <v>2.15</v>
      </c>
      <c r="J1113">
        <v>22</v>
      </c>
      <c r="M1113">
        <f t="shared" ca="1" si="68"/>
        <v>579</v>
      </c>
      <c r="N1113" s="3" t="str" cm="1">
        <f t="array" ref="N1113">_xlfn.IFS(I1113&gt;=3.5,"Excellent",I1113&gt;=3,"Good",I1113&gt;=2,"Average",I1113&lt;2,"Poor")</f>
        <v>Average</v>
      </c>
      <c r="P1113" t="str">
        <f t="shared" si="69"/>
        <v>True</v>
      </c>
      <c r="Q1113">
        <f t="shared" si="70"/>
        <v>59249</v>
      </c>
      <c r="R1113">
        <v>2023</v>
      </c>
      <c r="X1113" t="str">
        <f t="shared" ca="1" si="71"/>
        <v/>
      </c>
    </row>
    <row r="1114" spans="1:24" x14ac:dyDescent="0.25">
      <c r="A1114" t="s">
        <v>2249</v>
      </c>
      <c r="B1114" t="s">
        <v>2250</v>
      </c>
      <c r="C1114" t="s">
        <v>57</v>
      </c>
      <c r="D1114" t="s">
        <v>18</v>
      </c>
      <c r="E1114" s="1">
        <v>44879</v>
      </c>
      <c r="F1114" t="s">
        <v>19</v>
      </c>
      <c r="G1114">
        <v>7845</v>
      </c>
      <c r="H1114">
        <v>1768</v>
      </c>
      <c r="I1114">
        <v>3.79</v>
      </c>
      <c r="J1114">
        <v>82</v>
      </c>
      <c r="M1114" t="str">
        <f t="shared" ca="1" si="68"/>
        <v/>
      </c>
      <c r="N1114" s="3" t="str" cm="1">
        <f t="array" ref="N1114">_xlfn.IFS(I1114&gt;=3.5,"Excellent",I1114&gt;=3,"Good",I1114&gt;=2,"Average",I1114&lt;2,"Poor")</f>
        <v>Excellent</v>
      </c>
      <c r="P1114" t="str">
        <f t="shared" si="69"/>
        <v/>
      </c>
      <c r="Q1114">
        <f t="shared" si="70"/>
        <v>59249</v>
      </c>
      <c r="R1114">
        <v>2022</v>
      </c>
      <c r="X1114">
        <f t="shared" ca="1" si="71"/>
        <v>970</v>
      </c>
    </row>
    <row r="1115" spans="1:24" x14ac:dyDescent="0.25">
      <c r="A1115" t="s">
        <v>2251</v>
      </c>
      <c r="B1115" t="s">
        <v>2252</v>
      </c>
      <c r="C1115" t="s">
        <v>28</v>
      </c>
      <c r="D1115" t="s">
        <v>31</v>
      </c>
      <c r="E1115" s="1">
        <v>45337</v>
      </c>
      <c r="F1115" t="s">
        <v>19</v>
      </c>
      <c r="G1115">
        <v>14112</v>
      </c>
      <c r="H1115">
        <v>4858</v>
      </c>
      <c r="I1115">
        <v>2.48</v>
      </c>
      <c r="J1115">
        <v>106</v>
      </c>
      <c r="M1115" t="str">
        <f t="shared" ca="1" si="68"/>
        <v/>
      </c>
      <c r="N1115" s="3" t="str" cm="1">
        <f t="array" ref="N1115">_xlfn.IFS(I1115&gt;=3.5,"Excellent",I1115&gt;=3,"Good",I1115&gt;=2,"Average",I1115&lt;2,"Poor")</f>
        <v>Average</v>
      </c>
      <c r="P1115" t="str">
        <f t="shared" si="69"/>
        <v/>
      </c>
      <c r="Q1115">
        <f t="shared" si="70"/>
        <v>51404</v>
      </c>
      <c r="R1115">
        <v>2024</v>
      </c>
      <c r="X1115">
        <f t="shared" ca="1" si="71"/>
        <v>512</v>
      </c>
    </row>
    <row r="1116" spans="1:24" x14ac:dyDescent="0.25">
      <c r="A1116" t="s">
        <v>2253</v>
      </c>
      <c r="B1116" t="s">
        <v>2254</v>
      </c>
      <c r="C1116" t="s">
        <v>17</v>
      </c>
      <c r="D1116" t="s">
        <v>31</v>
      </c>
      <c r="E1116" s="1">
        <v>45429</v>
      </c>
      <c r="F1116" t="s">
        <v>14</v>
      </c>
      <c r="G1116">
        <v>8386</v>
      </c>
      <c r="H1116">
        <v>6949</v>
      </c>
      <c r="I1116">
        <v>2.54</v>
      </c>
      <c r="J1116">
        <v>97</v>
      </c>
      <c r="M1116">
        <f t="shared" ca="1" si="68"/>
        <v>420</v>
      </c>
      <c r="N1116" s="3" t="str" cm="1">
        <f t="array" ref="N1116">_xlfn.IFS(I1116&gt;=3.5,"Excellent",I1116&gt;=3,"Good",I1116&gt;=2,"Average",I1116&lt;2,"Poor")</f>
        <v>Average</v>
      </c>
      <c r="P1116" t="str">
        <f t="shared" si="69"/>
        <v>True</v>
      </c>
      <c r="Q1116">
        <f t="shared" si="70"/>
        <v>51404</v>
      </c>
      <c r="R1116">
        <v>2024</v>
      </c>
      <c r="X1116" t="str">
        <f t="shared" ca="1" si="71"/>
        <v/>
      </c>
    </row>
    <row r="1117" spans="1:24" x14ac:dyDescent="0.25">
      <c r="A1117" t="s">
        <v>2255</v>
      </c>
      <c r="B1117" t="s">
        <v>2256</v>
      </c>
      <c r="C1117" t="s">
        <v>54</v>
      </c>
      <c r="D1117" t="s">
        <v>18</v>
      </c>
      <c r="E1117" s="1">
        <v>45136</v>
      </c>
      <c r="F1117" t="s">
        <v>14</v>
      </c>
      <c r="G1117">
        <v>11924</v>
      </c>
      <c r="H1117">
        <v>8400</v>
      </c>
      <c r="I1117">
        <v>3.46</v>
      </c>
      <c r="J1117">
        <v>23</v>
      </c>
      <c r="M1117">
        <f t="shared" ca="1" si="68"/>
        <v>713</v>
      </c>
      <c r="N1117" s="3" t="str" cm="1">
        <f t="array" ref="N1117">_xlfn.IFS(I1117&gt;=3.5,"Excellent",I1117&gt;=3,"Good",I1117&gt;=2,"Average",I1117&lt;2,"Poor")</f>
        <v>Good</v>
      </c>
      <c r="P1117" t="str">
        <f t="shared" si="69"/>
        <v>True</v>
      </c>
      <c r="Q1117">
        <f t="shared" si="70"/>
        <v>51404</v>
      </c>
      <c r="R1117">
        <v>2023</v>
      </c>
      <c r="X1117" t="str">
        <f t="shared" ca="1" si="71"/>
        <v/>
      </c>
    </row>
    <row r="1118" spans="1:24" x14ac:dyDescent="0.25">
      <c r="A1118" t="s">
        <v>2257</v>
      </c>
      <c r="B1118" t="s">
        <v>2258</v>
      </c>
      <c r="C1118" t="s">
        <v>28</v>
      </c>
      <c r="D1118" t="s">
        <v>31</v>
      </c>
      <c r="E1118" s="1">
        <v>44647</v>
      </c>
      <c r="F1118" t="s">
        <v>19</v>
      </c>
      <c r="G1118">
        <v>6259</v>
      </c>
      <c r="H1118">
        <v>6330</v>
      </c>
      <c r="I1118">
        <v>3.7</v>
      </c>
      <c r="J1118">
        <v>69</v>
      </c>
      <c r="M1118" t="str">
        <f t="shared" ca="1" si="68"/>
        <v/>
      </c>
      <c r="N1118" s="3" t="str" cm="1">
        <f t="array" ref="N1118">_xlfn.IFS(I1118&gt;=3.5,"Excellent",I1118&gt;=3,"Good",I1118&gt;=2,"Average",I1118&lt;2,"Poor")</f>
        <v>Excellent</v>
      </c>
      <c r="P1118" t="str">
        <f t="shared" si="69"/>
        <v>True</v>
      </c>
      <c r="Q1118">
        <f t="shared" si="70"/>
        <v>51404</v>
      </c>
      <c r="R1118">
        <v>2022</v>
      </c>
      <c r="X1118">
        <f t="shared" ca="1" si="71"/>
        <v>1202</v>
      </c>
    </row>
    <row r="1119" spans="1:24" x14ac:dyDescent="0.25">
      <c r="A1119" t="s">
        <v>2259</v>
      </c>
      <c r="B1119" t="s">
        <v>2260</v>
      </c>
      <c r="C1119" t="s">
        <v>22</v>
      </c>
      <c r="D1119" t="s">
        <v>31</v>
      </c>
      <c r="E1119" s="1">
        <v>45347</v>
      </c>
      <c r="F1119" t="s">
        <v>14</v>
      </c>
      <c r="G1119">
        <v>2965</v>
      </c>
      <c r="H1119">
        <v>4420</v>
      </c>
      <c r="I1119">
        <v>3.5</v>
      </c>
      <c r="J1119">
        <v>79</v>
      </c>
      <c r="M1119">
        <f t="shared" ca="1" si="68"/>
        <v>502</v>
      </c>
      <c r="N1119" s="3" t="str" cm="1">
        <f t="array" ref="N1119">_xlfn.IFS(I1119&gt;=3.5,"Excellent",I1119&gt;=3,"Good",I1119&gt;=2,"Average",I1119&lt;2,"Poor")</f>
        <v>Excellent</v>
      </c>
      <c r="P1119" t="str">
        <f t="shared" si="69"/>
        <v>True</v>
      </c>
      <c r="Q1119">
        <f t="shared" si="70"/>
        <v>51404</v>
      </c>
      <c r="R1119">
        <v>2024</v>
      </c>
      <c r="X1119" t="str">
        <f t="shared" ca="1" si="71"/>
        <v/>
      </c>
    </row>
    <row r="1120" spans="1:24" x14ac:dyDescent="0.25">
      <c r="A1120" t="s">
        <v>2261</v>
      </c>
      <c r="B1120" t="s">
        <v>2262</v>
      </c>
      <c r="C1120" t="s">
        <v>12</v>
      </c>
      <c r="D1120" t="s">
        <v>13</v>
      </c>
      <c r="E1120" s="1">
        <v>45347</v>
      </c>
      <c r="F1120" t="s">
        <v>14</v>
      </c>
      <c r="G1120">
        <v>10945</v>
      </c>
      <c r="H1120">
        <v>3789</v>
      </c>
      <c r="I1120">
        <v>3.56</v>
      </c>
      <c r="J1120">
        <v>39</v>
      </c>
      <c r="M1120">
        <f t="shared" ca="1" si="68"/>
        <v>502</v>
      </c>
      <c r="N1120" s="3" t="str" cm="1">
        <f t="array" ref="N1120">_xlfn.IFS(I1120&gt;=3.5,"Excellent",I1120&gt;=3,"Good",I1120&gt;=2,"Average",I1120&lt;2,"Poor")</f>
        <v>Excellent</v>
      </c>
      <c r="P1120" t="str">
        <f t="shared" si="69"/>
        <v/>
      </c>
      <c r="Q1120">
        <f t="shared" si="70"/>
        <v>51404</v>
      </c>
      <c r="R1120">
        <v>2024</v>
      </c>
      <c r="X1120" t="str">
        <f t="shared" ca="1" si="71"/>
        <v/>
      </c>
    </row>
    <row r="1121" spans="1:24" x14ac:dyDescent="0.25">
      <c r="A1121" t="s">
        <v>2263</v>
      </c>
      <c r="B1121" t="s">
        <v>2264</v>
      </c>
      <c r="C1121" t="s">
        <v>54</v>
      </c>
      <c r="D1121" t="s">
        <v>62</v>
      </c>
      <c r="E1121" s="1">
        <v>45406</v>
      </c>
      <c r="F1121" t="s">
        <v>19</v>
      </c>
      <c r="G1121">
        <v>5840</v>
      </c>
      <c r="H1121">
        <v>9839</v>
      </c>
      <c r="I1121">
        <v>3.91</v>
      </c>
      <c r="J1121">
        <v>21</v>
      </c>
      <c r="M1121" t="str">
        <f t="shared" ca="1" si="68"/>
        <v/>
      </c>
      <c r="N1121" s="3" t="str" cm="1">
        <f t="array" ref="N1121">_xlfn.IFS(I1121&gt;=3.5,"Excellent",I1121&gt;=3,"Good",I1121&gt;=2,"Average",I1121&lt;2,"Poor")</f>
        <v>Excellent</v>
      </c>
      <c r="P1121" t="str">
        <f t="shared" si="69"/>
        <v>True</v>
      </c>
      <c r="Q1121">
        <f t="shared" si="70"/>
        <v>51404</v>
      </c>
      <c r="R1121">
        <v>2024</v>
      </c>
      <c r="X1121">
        <f t="shared" ca="1" si="71"/>
        <v>443</v>
      </c>
    </row>
    <row r="1122" spans="1:24" x14ac:dyDescent="0.25">
      <c r="A1122" t="s">
        <v>2265</v>
      </c>
      <c r="B1122" t="s">
        <v>2266</v>
      </c>
      <c r="C1122" t="s">
        <v>28</v>
      </c>
      <c r="D1122" t="s">
        <v>62</v>
      </c>
      <c r="E1122" s="1">
        <v>45288</v>
      </c>
      <c r="F1122" t="s">
        <v>19</v>
      </c>
      <c r="G1122">
        <v>11837</v>
      </c>
      <c r="H1122">
        <v>4235</v>
      </c>
      <c r="I1122">
        <v>3.73</v>
      </c>
      <c r="J1122">
        <v>67</v>
      </c>
      <c r="M1122" t="str">
        <f t="shared" ca="1" si="68"/>
        <v/>
      </c>
      <c r="N1122" s="3" t="str" cm="1">
        <f t="array" ref="N1122">_xlfn.IFS(I1122&gt;=3.5,"Excellent",I1122&gt;=3,"Good",I1122&gt;=2,"Average",I1122&lt;2,"Poor")</f>
        <v>Excellent</v>
      </c>
      <c r="P1122" t="str">
        <f t="shared" si="69"/>
        <v/>
      </c>
      <c r="Q1122">
        <f t="shared" si="70"/>
        <v>51404</v>
      </c>
      <c r="R1122">
        <v>2023</v>
      </c>
      <c r="X1122">
        <f t="shared" ca="1" si="71"/>
        <v>561</v>
      </c>
    </row>
    <row r="1123" spans="1:24" x14ac:dyDescent="0.25">
      <c r="A1123" t="s">
        <v>2267</v>
      </c>
      <c r="B1123" t="s">
        <v>2268</v>
      </c>
      <c r="C1123" t="s">
        <v>57</v>
      </c>
      <c r="D1123" t="s">
        <v>31</v>
      </c>
      <c r="E1123" s="1">
        <v>45245</v>
      </c>
      <c r="F1123" t="s">
        <v>19</v>
      </c>
      <c r="G1123">
        <v>2593</v>
      </c>
      <c r="H1123">
        <v>3001</v>
      </c>
      <c r="I1123">
        <v>2.4</v>
      </c>
      <c r="J1123">
        <v>25</v>
      </c>
      <c r="M1123" t="str">
        <f t="shared" ca="1" si="68"/>
        <v/>
      </c>
      <c r="N1123" s="3" t="str" cm="1">
        <f t="array" ref="N1123">_xlfn.IFS(I1123&gt;=3.5,"Excellent",I1123&gt;=3,"Good",I1123&gt;=2,"Average",I1123&lt;2,"Poor")</f>
        <v>Average</v>
      </c>
      <c r="P1123" t="str">
        <f t="shared" si="69"/>
        <v>True</v>
      </c>
      <c r="Q1123">
        <f t="shared" si="70"/>
        <v>51404</v>
      </c>
      <c r="R1123">
        <v>2023</v>
      </c>
      <c r="X1123">
        <f t="shared" ca="1" si="71"/>
        <v>604</v>
      </c>
    </row>
    <row r="1124" spans="1:24" x14ac:dyDescent="0.25">
      <c r="A1124" t="s">
        <v>2269</v>
      </c>
      <c r="B1124" t="s">
        <v>2270</v>
      </c>
      <c r="C1124" t="s">
        <v>17</v>
      </c>
      <c r="D1124" t="s">
        <v>62</v>
      </c>
      <c r="E1124" s="1">
        <v>45222</v>
      </c>
      <c r="F1124" t="s">
        <v>14</v>
      </c>
      <c r="G1124">
        <v>4320</v>
      </c>
      <c r="H1124">
        <v>5243</v>
      </c>
      <c r="I1124">
        <v>4</v>
      </c>
      <c r="J1124">
        <v>67</v>
      </c>
      <c r="M1124">
        <f t="shared" ca="1" si="68"/>
        <v>627</v>
      </c>
      <c r="N1124" s="3" t="str" cm="1">
        <f t="array" ref="N1124">_xlfn.IFS(I1124&gt;=3.5,"Excellent",I1124&gt;=3,"Good",I1124&gt;=2,"Average",I1124&lt;2,"Poor")</f>
        <v>Excellent</v>
      </c>
      <c r="P1124" t="str">
        <f t="shared" si="69"/>
        <v>True</v>
      </c>
      <c r="Q1124">
        <f t="shared" si="70"/>
        <v>51404</v>
      </c>
      <c r="R1124">
        <v>2023</v>
      </c>
      <c r="X1124" t="str">
        <f t="shared" ca="1" si="71"/>
        <v/>
      </c>
    </row>
    <row r="1125" spans="1:24" x14ac:dyDescent="0.25">
      <c r="A1125" t="s">
        <v>2271</v>
      </c>
      <c r="B1125" t="s">
        <v>2272</v>
      </c>
      <c r="C1125" t="s">
        <v>17</v>
      </c>
      <c r="D1125" t="s">
        <v>13</v>
      </c>
      <c r="E1125" s="1">
        <v>44779</v>
      </c>
      <c r="F1125" t="s">
        <v>19</v>
      </c>
      <c r="G1125">
        <v>5074</v>
      </c>
      <c r="H1125">
        <v>3228</v>
      </c>
      <c r="I1125">
        <v>3.89</v>
      </c>
      <c r="J1125">
        <v>10</v>
      </c>
      <c r="M1125" t="str">
        <f t="shared" ca="1" si="68"/>
        <v/>
      </c>
      <c r="N1125" s="3" t="str" cm="1">
        <f t="array" ref="N1125">_xlfn.IFS(I1125&gt;=3.5,"Excellent",I1125&gt;=3,"Good",I1125&gt;=2,"Average",I1125&lt;2,"Poor")</f>
        <v>Excellent</v>
      </c>
      <c r="P1125" t="str">
        <f t="shared" si="69"/>
        <v>True</v>
      </c>
      <c r="Q1125">
        <f t="shared" si="70"/>
        <v>51404</v>
      </c>
      <c r="R1125">
        <v>2022</v>
      </c>
      <c r="X1125">
        <f t="shared" ca="1" si="71"/>
        <v>1070</v>
      </c>
    </row>
    <row r="1126" spans="1:24" x14ac:dyDescent="0.25">
      <c r="A1126" t="s">
        <v>2273</v>
      </c>
      <c r="B1126" t="s">
        <v>2274</v>
      </c>
      <c r="C1126" t="s">
        <v>17</v>
      </c>
      <c r="D1126" t="s">
        <v>62</v>
      </c>
      <c r="E1126" s="1">
        <v>45138</v>
      </c>
      <c r="F1126" t="s">
        <v>14</v>
      </c>
      <c r="G1126">
        <v>10173</v>
      </c>
      <c r="H1126">
        <v>2208</v>
      </c>
      <c r="I1126">
        <v>2.9</v>
      </c>
      <c r="J1126">
        <v>3</v>
      </c>
      <c r="M1126">
        <f t="shared" ca="1" si="68"/>
        <v>711</v>
      </c>
      <c r="N1126" s="3" t="str" cm="1">
        <f t="array" ref="N1126">_xlfn.IFS(I1126&gt;=3.5,"Excellent",I1126&gt;=3,"Good",I1126&gt;=2,"Average",I1126&lt;2,"Poor")</f>
        <v>Average</v>
      </c>
      <c r="P1126" t="str">
        <f t="shared" si="69"/>
        <v/>
      </c>
      <c r="Q1126">
        <f t="shared" si="70"/>
        <v>51404</v>
      </c>
      <c r="R1126">
        <v>2023</v>
      </c>
      <c r="X1126" t="str">
        <f t="shared" ca="1" si="71"/>
        <v/>
      </c>
    </row>
    <row r="1127" spans="1:24" x14ac:dyDescent="0.25">
      <c r="A1127" t="s">
        <v>2275</v>
      </c>
      <c r="B1127" t="s">
        <v>2276</v>
      </c>
      <c r="C1127" t="s">
        <v>28</v>
      </c>
      <c r="D1127" t="s">
        <v>13</v>
      </c>
      <c r="E1127" s="1">
        <v>44684</v>
      </c>
      <c r="F1127" t="s">
        <v>19</v>
      </c>
      <c r="G1127">
        <v>12039</v>
      </c>
      <c r="H1127">
        <v>2849</v>
      </c>
      <c r="I1127">
        <v>2.93</v>
      </c>
      <c r="J1127">
        <v>4</v>
      </c>
      <c r="M1127" t="str">
        <f t="shared" ca="1" si="68"/>
        <v/>
      </c>
      <c r="N1127" s="3" t="str" cm="1">
        <f t="array" ref="N1127">_xlfn.IFS(I1127&gt;=3.5,"Excellent",I1127&gt;=3,"Good",I1127&gt;=2,"Average",I1127&lt;2,"Poor")</f>
        <v>Average</v>
      </c>
      <c r="P1127" t="str">
        <f t="shared" si="69"/>
        <v/>
      </c>
      <c r="Q1127">
        <f t="shared" si="70"/>
        <v>51404</v>
      </c>
      <c r="R1127">
        <v>2022</v>
      </c>
      <c r="X1127">
        <f t="shared" ca="1" si="71"/>
        <v>1165</v>
      </c>
    </row>
    <row r="1128" spans="1:24" x14ac:dyDescent="0.25">
      <c r="A1128" t="s">
        <v>2277</v>
      </c>
      <c r="B1128" t="s">
        <v>2278</v>
      </c>
      <c r="C1128" t="s">
        <v>57</v>
      </c>
      <c r="D1128" t="s">
        <v>31</v>
      </c>
      <c r="E1128" s="1">
        <v>45172</v>
      </c>
      <c r="F1128" t="s">
        <v>14</v>
      </c>
      <c r="G1128">
        <v>9593</v>
      </c>
      <c r="H1128">
        <v>3437</v>
      </c>
      <c r="I1128">
        <v>3.75</v>
      </c>
      <c r="J1128">
        <v>117</v>
      </c>
      <c r="M1128">
        <f t="shared" ca="1" si="68"/>
        <v>677</v>
      </c>
      <c r="N1128" s="3" t="str" cm="1">
        <f t="array" ref="N1128">_xlfn.IFS(I1128&gt;=3.5,"Excellent",I1128&gt;=3,"Good",I1128&gt;=2,"Average",I1128&lt;2,"Poor")</f>
        <v>Excellent</v>
      </c>
      <c r="P1128" t="str">
        <f t="shared" si="69"/>
        <v/>
      </c>
      <c r="Q1128">
        <f t="shared" si="70"/>
        <v>51404</v>
      </c>
      <c r="R1128">
        <v>2023</v>
      </c>
      <c r="X1128" t="str">
        <f t="shared" ca="1" si="71"/>
        <v/>
      </c>
    </row>
    <row r="1129" spans="1:24" x14ac:dyDescent="0.25">
      <c r="A1129" t="s">
        <v>2279</v>
      </c>
      <c r="B1129" t="s">
        <v>2280</v>
      </c>
      <c r="C1129" t="s">
        <v>57</v>
      </c>
      <c r="D1129" t="s">
        <v>31</v>
      </c>
      <c r="E1129" s="1">
        <v>44816</v>
      </c>
      <c r="F1129" t="s">
        <v>14</v>
      </c>
      <c r="G1129">
        <v>12305</v>
      </c>
      <c r="H1129">
        <v>4221</v>
      </c>
      <c r="I1129">
        <v>3.38</v>
      </c>
      <c r="J1129">
        <v>40</v>
      </c>
      <c r="M1129">
        <f t="shared" ca="1" si="68"/>
        <v>1033</v>
      </c>
      <c r="N1129" s="3" t="str" cm="1">
        <f t="array" ref="N1129">_xlfn.IFS(I1129&gt;=3.5,"Excellent",I1129&gt;=3,"Good",I1129&gt;=2,"Average",I1129&lt;2,"Poor")</f>
        <v>Good</v>
      </c>
      <c r="P1129" t="str">
        <f t="shared" si="69"/>
        <v/>
      </c>
      <c r="Q1129">
        <f t="shared" si="70"/>
        <v>51404</v>
      </c>
      <c r="R1129">
        <v>2022</v>
      </c>
      <c r="X1129" t="str">
        <f t="shared" ca="1" si="71"/>
        <v/>
      </c>
    </row>
    <row r="1130" spans="1:24" x14ac:dyDescent="0.25">
      <c r="A1130" t="s">
        <v>2281</v>
      </c>
      <c r="B1130" t="s">
        <v>2282</v>
      </c>
      <c r="C1130" t="s">
        <v>17</v>
      </c>
      <c r="D1130" t="s">
        <v>62</v>
      </c>
      <c r="E1130" s="1">
        <v>45196</v>
      </c>
      <c r="F1130" t="s">
        <v>14</v>
      </c>
      <c r="G1130">
        <v>10591</v>
      </c>
      <c r="H1130">
        <v>8903</v>
      </c>
      <c r="I1130">
        <v>3.69</v>
      </c>
      <c r="J1130">
        <v>106</v>
      </c>
      <c r="M1130">
        <f t="shared" ca="1" si="68"/>
        <v>653</v>
      </c>
      <c r="N1130" s="3" t="str" cm="1">
        <f t="array" ref="N1130">_xlfn.IFS(I1130&gt;=3.5,"Excellent",I1130&gt;=3,"Good",I1130&gt;=2,"Average",I1130&lt;2,"Poor")</f>
        <v>Excellent</v>
      </c>
      <c r="P1130" t="str">
        <f t="shared" si="69"/>
        <v>True</v>
      </c>
      <c r="Q1130">
        <f t="shared" si="70"/>
        <v>51404</v>
      </c>
      <c r="R1130">
        <v>2023</v>
      </c>
      <c r="X1130" t="str">
        <f t="shared" ca="1" si="71"/>
        <v/>
      </c>
    </row>
    <row r="1131" spans="1:24" x14ac:dyDescent="0.25">
      <c r="A1131" t="s">
        <v>2283</v>
      </c>
      <c r="B1131" t="s">
        <v>2284</v>
      </c>
      <c r="C1131" t="s">
        <v>36</v>
      </c>
      <c r="D1131" t="s">
        <v>62</v>
      </c>
      <c r="E1131" s="1">
        <v>45199</v>
      </c>
      <c r="F1131" t="s">
        <v>14</v>
      </c>
      <c r="G1131">
        <v>7321</v>
      </c>
      <c r="H1131">
        <v>2534</v>
      </c>
      <c r="I1131">
        <v>3.52</v>
      </c>
      <c r="J1131">
        <v>33</v>
      </c>
      <c r="M1131">
        <f t="shared" ca="1" si="68"/>
        <v>650</v>
      </c>
      <c r="N1131" s="3" t="str" cm="1">
        <f t="array" ref="N1131">_xlfn.IFS(I1131&gt;=3.5,"Excellent",I1131&gt;=3,"Good",I1131&gt;=2,"Average",I1131&lt;2,"Poor")</f>
        <v>Excellent</v>
      </c>
      <c r="P1131" t="str">
        <f t="shared" si="69"/>
        <v/>
      </c>
      <c r="Q1131">
        <f t="shared" si="70"/>
        <v>51404</v>
      </c>
      <c r="R1131">
        <v>2023</v>
      </c>
      <c r="X1131" t="str">
        <f t="shared" ca="1" si="71"/>
        <v/>
      </c>
    </row>
    <row r="1132" spans="1:24" x14ac:dyDescent="0.25">
      <c r="A1132" t="s">
        <v>2285</v>
      </c>
      <c r="B1132" t="s">
        <v>2286</v>
      </c>
      <c r="C1132" t="s">
        <v>17</v>
      </c>
      <c r="D1132" t="s">
        <v>31</v>
      </c>
      <c r="E1132" s="1">
        <v>45234</v>
      </c>
      <c r="F1132" t="s">
        <v>14</v>
      </c>
      <c r="G1132">
        <v>7742</v>
      </c>
      <c r="H1132">
        <v>3650</v>
      </c>
      <c r="I1132">
        <v>3.42</v>
      </c>
      <c r="J1132">
        <v>60</v>
      </c>
      <c r="M1132">
        <f t="shared" ca="1" si="68"/>
        <v>615</v>
      </c>
      <c r="N1132" s="3" t="str" cm="1">
        <f t="array" ref="N1132">_xlfn.IFS(I1132&gt;=3.5,"Excellent",I1132&gt;=3,"Good",I1132&gt;=2,"Average",I1132&lt;2,"Poor")</f>
        <v>Good</v>
      </c>
      <c r="P1132" t="str">
        <f t="shared" si="69"/>
        <v/>
      </c>
      <c r="Q1132">
        <f t="shared" si="70"/>
        <v>51404</v>
      </c>
      <c r="R1132">
        <v>2023</v>
      </c>
      <c r="X1132" t="str">
        <f t="shared" ca="1" si="71"/>
        <v/>
      </c>
    </row>
    <row r="1133" spans="1:24" x14ac:dyDescent="0.25">
      <c r="A1133" t="s">
        <v>2287</v>
      </c>
      <c r="B1133" t="s">
        <v>2288</v>
      </c>
      <c r="C1133" t="s">
        <v>25</v>
      </c>
      <c r="D1133" t="s">
        <v>31</v>
      </c>
      <c r="E1133" s="1">
        <v>45371</v>
      </c>
      <c r="F1133" t="s">
        <v>14</v>
      </c>
      <c r="G1133">
        <v>11854</v>
      </c>
      <c r="H1133">
        <v>1254</v>
      </c>
      <c r="I1133">
        <v>3.76</v>
      </c>
      <c r="J1133">
        <v>1</v>
      </c>
      <c r="M1133">
        <f t="shared" ca="1" si="68"/>
        <v>478</v>
      </c>
      <c r="N1133" s="3" t="str" cm="1">
        <f t="array" ref="N1133">_xlfn.IFS(I1133&gt;=3.5,"Excellent",I1133&gt;=3,"Good",I1133&gt;=2,"Average",I1133&lt;2,"Poor")</f>
        <v>Excellent</v>
      </c>
      <c r="P1133" t="str">
        <f t="shared" si="69"/>
        <v/>
      </c>
      <c r="Q1133">
        <f t="shared" si="70"/>
        <v>51404</v>
      </c>
      <c r="R1133">
        <v>2024</v>
      </c>
      <c r="X1133" t="str">
        <f t="shared" ca="1" si="71"/>
        <v/>
      </c>
    </row>
    <row r="1134" spans="1:24" x14ac:dyDescent="0.25">
      <c r="A1134" t="s">
        <v>2289</v>
      </c>
      <c r="B1134" t="s">
        <v>2290</v>
      </c>
      <c r="C1134" t="s">
        <v>25</v>
      </c>
      <c r="D1134" t="s">
        <v>62</v>
      </c>
      <c r="E1134" s="1">
        <v>44982</v>
      </c>
      <c r="F1134" t="s">
        <v>39</v>
      </c>
      <c r="G1134">
        <v>3324</v>
      </c>
      <c r="H1134">
        <v>6168</v>
      </c>
      <c r="I1134">
        <v>3.97</v>
      </c>
      <c r="J1134">
        <v>54</v>
      </c>
      <c r="M1134" t="str">
        <f t="shared" ca="1" si="68"/>
        <v/>
      </c>
      <c r="N1134" s="3" t="str" cm="1">
        <f t="array" ref="N1134">_xlfn.IFS(I1134&gt;=3.5,"Excellent",I1134&gt;=3,"Good",I1134&gt;=2,"Average",I1134&lt;2,"Poor")</f>
        <v>Excellent</v>
      </c>
      <c r="P1134" t="str">
        <f t="shared" si="69"/>
        <v>True</v>
      </c>
      <c r="Q1134">
        <f t="shared" si="70"/>
        <v>51404</v>
      </c>
      <c r="R1134">
        <v>2023</v>
      </c>
      <c r="X1134" t="str">
        <f t="shared" ca="1" si="71"/>
        <v/>
      </c>
    </row>
    <row r="1135" spans="1:24" x14ac:dyDescent="0.25">
      <c r="A1135" t="s">
        <v>2291</v>
      </c>
      <c r="B1135" t="s">
        <v>2292</v>
      </c>
      <c r="C1135" t="s">
        <v>17</v>
      </c>
      <c r="D1135" t="s">
        <v>62</v>
      </c>
      <c r="E1135" s="1">
        <v>45381</v>
      </c>
      <c r="F1135" t="s">
        <v>14</v>
      </c>
      <c r="G1135">
        <v>6655</v>
      </c>
      <c r="H1135">
        <v>8989</v>
      </c>
      <c r="I1135">
        <v>3.86</v>
      </c>
      <c r="J1135">
        <v>82</v>
      </c>
      <c r="M1135">
        <f t="shared" ca="1" si="68"/>
        <v>468</v>
      </c>
      <c r="N1135" s="3" t="str" cm="1">
        <f t="array" ref="N1135">_xlfn.IFS(I1135&gt;=3.5,"Excellent",I1135&gt;=3,"Good",I1135&gt;=2,"Average",I1135&lt;2,"Poor")</f>
        <v>Excellent</v>
      </c>
      <c r="P1135" t="str">
        <f t="shared" si="69"/>
        <v>True</v>
      </c>
      <c r="Q1135">
        <f t="shared" si="70"/>
        <v>51404</v>
      </c>
      <c r="R1135">
        <v>2024</v>
      </c>
      <c r="X1135" t="str">
        <f t="shared" ca="1" si="71"/>
        <v/>
      </c>
    </row>
    <row r="1136" spans="1:24" x14ac:dyDescent="0.25">
      <c r="A1136" t="s">
        <v>2293</v>
      </c>
      <c r="B1136" t="s">
        <v>2294</v>
      </c>
      <c r="C1136" t="s">
        <v>36</v>
      </c>
      <c r="D1136" t="s">
        <v>13</v>
      </c>
      <c r="E1136" s="1">
        <v>44571</v>
      </c>
      <c r="F1136" t="s">
        <v>14</v>
      </c>
      <c r="G1136">
        <v>6724</v>
      </c>
      <c r="H1136">
        <v>1796</v>
      </c>
      <c r="I1136">
        <v>3.56</v>
      </c>
      <c r="J1136">
        <v>9</v>
      </c>
      <c r="M1136">
        <f t="shared" ca="1" si="68"/>
        <v>1278</v>
      </c>
      <c r="N1136" s="3" t="str" cm="1">
        <f t="array" ref="N1136">_xlfn.IFS(I1136&gt;=3.5,"Excellent",I1136&gt;=3,"Good",I1136&gt;=2,"Average",I1136&lt;2,"Poor")</f>
        <v>Excellent</v>
      </c>
      <c r="P1136" t="str">
        <f t="shared" si="69"/>
        <v/>
      </c>
      <c r="Q1136">
        <f t="shared" si="70"/>
        <v>51404</v>
      </c>
      <c r="R1136">
        <v>2022</v>
      </c>
      <c r="X1136" t="str">
        <f t="shared" ca="1" si="71"/>
        <v/>
      </c>
    </row>
    <row r="1137" spans="1:24" x14ac:dyDescent="0.25">
      <c r="A1137" t="s">
        <v>2295</v>
      </c>
      <c r="B1137" t="s">
        <v>2296</v>
      </c>
      <c r="C1137" t="s">
        <v>57</v>
      </c>
      <c r="D1137" t="s">
        <v>62</v>
      </c>
      <c r="E1137" s="1">
        <v>45323</v>
      </c>
      <c r="F1137" t="s">
        <v>19</v>
      </c>
      <c r="G1137">
        <v>7277</v>
      </c>
      <c r="H1137">
        <v>7758</v>
      </c>
      <c r="I1137">
        <v>3.04</v>
      </c>
      <c r="J1137">
        <v>0</v>
      </c>
      <c r="M1137" t="str">
        <f t="shared" ca="1" si="68"/>
        <v/>
      </c>
      <c r="N1137" s="3" t="str" cm="1">
        <f t="array" ref="N1137">_xlfn.IFS(I1137&gt;=3.5,"Excellent",I1137&gt;=3,"Good",I1137&gt;=2,"Average",I1137&lt;2,"Poor")</f>
        <v>Good</v>
      </c>
      <c r="P1137" t="str">
        <f t="shared" si="69"/>
        <v>True</v>
      </c>
      <c r="Q1137">
        <f t="shared" si="70"/>
        <v>51404</v>
      </c>
      <c r="R1137">
        <v>2024</v>
      </c>
      <c r="X1137">
        <f t="shared" ca="1" si="71"/>
        <v>526</v>
      </c>
    </row>
    <row r="1138" spans="1:24" x14ac:dyDescent="0.25">
      <c r="A1138" t="s">
        <v>2297</v>
      </c>
      <c r="B1138" t="s">
        <v>2298</v>
      </c>
      <c r="C1138" t="s">
        <v>25</v>
      </c>
      <c r="D1138" t="s">
        <v>31</v>
      </c>
      <c r="E1138" s="1">
        <v>44637</v>
      </c>
      <c r="F1138" t="s">
        <v>14</v>
      </c>
      <c r="G1138">
        <v>10295</v>
      </c>
      <c r="H1138">
        <v>4718</v>
      </c>
      <c r="I1138">
        <v>2.93</v>
      </c>
      <c r="J1138">
        <v>80</v>
      </c>
      <c r="M1138">
        <f t="shared" ca="1" si="68"/>
        <v>1212</v>
      </c>
      <c r="N1138" s="3" t="str" cm="1">
        <f t="array" ref="N1138">_xlfn.IFS(I1138&gt;=3.5,"Excellent",I1138&gt;=3,"Good",I1138&gt;=2,"Average",I1138&lt;2,"Poor")</f>
        <v>Average</v>
      </c>
      <c r="P1138" t="str">
        <f t="shared" si="69"/>
        <v/>
      </c>
      <c r="Q1138">
        <f t="shared" si="70"/>
        <v>51404</v>
      </c>
      <c r="R1138">
        <v>2022</v>
      </c>
      <c r="X1138" t="str">
        <f t="shared" ca="1" si="71"/>
        <v/>
      </c>
    </row>
    <row r="1139" spans="1:24" x14ac:dyDescent="0.25">
      <c r="A1139" t="s">
        <v>2299</v>
      </c>
      <c r="B1139" t="s">
        <v>2300</v>
      </c>
      <c r="C1139" t="s">
        <v>22</v>
      </c>
      <c r="D1139" t="s">
        <v>31</v>
      </c>
      <c r="E1139" s="1">
        <v>44600</v>
      </c>
      <c r="F1139" t="s">
        <v>14</v>
      </c>
      <c r="G1139">
        <v>14993</v>
      </c>
      <c r="H1139">
        <v>3599</v>
      </c>
      <c r="I1139">
        <v>2.61</v>
      </c>
      <c r="J1139">
        <v>47</v>
      </c>
      <c r="M1139">
        <f t="shared" ca="1" si="68"/>
        <v>1249</v>
      </c>
      <c r="N1139" s="3" t="str" cm="1">
        <f t="array" ref="N1139">_xlfn.IFS(I1139&gt;=3.5,"Excellent",I1139&gt;=3,"Good",I1139&gt;=2,"Average",I1139&lt;2,"Poor")</f>
        <v>Average</v>
      </c>
      <c r="P1139" t="str">
        <f t="shared" si="69"/>
        <v/>
      </c>
      <c r="Q1139">
        <f t="shared" si="70"/>
        <v>51404</v>
      </c>
      <c r="R1139">
        <v>2022</v>
      </c>
      <c r="X1139" t="str">
        <f t="shared" ca="1" si="71"/>
        <v/>
      </c>
    </row>
    <row r="1140" spans="1:24" x14ac:dyDescent="0.25">
      <c r="A1140" t="s">
        <v>2301</v>
      </c>
      <c r="B1140" t="s">
        <v>2302</v>
      </c>
      <c r="C1140" t="s">
        <v>17</v>
      </c>
      <c r="D1140" t="s">
        <v>62</v>
      </c>
      <c r="E1140" s="1">
        <v>45284</v>
      </c>
      <c r="F1140" t="s">
        <v>14</v>
      </c>
      <c r="G1140">
        <v>4493</v>
      </c>
      <c r="H1140">
        <v>7576</v>
      </c>
      <c r="I1140">
        <v>2.69</v>
      </c>
      <c r="J1140">
        <v>99</v>
      </c>
      <c r="M1140">
        <f t="shared" ca="1" si="68"/>
        <v>565</v>
      </c>
      <c r="N1140" s="3" t="str" cm="1">
        <f t="array" ref="N1140">_xlfn.IFS(I1140&gt;=3.5,"Excellent",I1140&gt;=3,"Good",I1140&gt;=2,"Average",I1140&lt;2,"Poor")</f>
        <v>Average</v>
      </c>
      <c r="P1140" t="str">
        <f t="shared" si="69"/>
        <v>True</v>
      </c>
      <c r="Q1140">
        <f t="shared" si="70"/>
        <v>51404</v>
      </c>
      <c r="R1140">
        <v>2023</v>
      </c>
      <c r="X1140" t="str">
        <f t="shared" ca="1" si="71"/>
        <v/>
      </c>
    </row>
    <row r="1141" spans="1:24" x14ac:dyDescent="0.25">
      <c r="A1141" t="s">
        <v>2303</v>
      </c>
      <c r="B1141" t="s">
        <v>2304</v>
      </c>
      <c r="C1141" t="s">
        <v>12</v>
      </c>
      <c r="D1141" t="s">
        <v>31</v>
      </c>
      <c r="E1141" s="1">
        <v>45010</v>
      </c>
      <c r="F1141" t="s">
        <v>14</v>
      </c>
      <c r="G1141">
        <v>6908</v>
      </c>
      <c r="H1141">
        <v>4097</v>
      </c>
      <c r="I1141">
        <v>3.41</v>
      </c>
      <c r="J1141">
        <v>65</v>
      </c>
      <c r="M1141">
        <f t="shared" ca="1" si="68"/>
        <v>839</v>
      </c>
      <c r="N1141" s="3" t="str" cm="1">
        <f t="array" ref="N1141">_xlfn.IFS(I1141&gt;=3.5,"Excellent",I1141&gt;=3,"Good",I1141&gt;=2,"Average",I1141&lt;2,"Poor")</f>
        <v>Good</v>
      </c>
      <c r="P1141" t="str">
        <f t="shared" si="69"/>
        <v>True</v>
      </c>
      <c r="Q1141">
        <f t="shared" si="70"/>
        <v>51404</v>
      </c>
      <c r="R1141">
        <v>2023</v>
      </c>
      <c r="X1141" t="str">
        <f t="shared" ca="1" si="71"/>
        <v/>
      </c>
    </row>
    <row r="1142" spans="1:24" x14ac:dyDescent="0.25">
      <c r="A1142" t="s">
        <v>2305</v>
      </c>
      <c r="B1142" t="s">
        <v>2306</v>
      </c>
      <c r="C1142" t="s">
        <v>57</v>
      </c>
      <c r="D1142" t="s">
        <v>31</v>
      </c>
      <c r="E1142" s="1">
        <v>44727</v>
      </c>
      <c r="F1142" t="s">
        <v>14</v>
      </c>
      <c r="G1142">
        <v>13292</v>
      </c>
      <c r="H1142">
        <v>1593</v>
      </c>
      <c r="I1142">
        <v>3.54</v>
      </c>
      <c r="J1142">
        <v>72</v>
      </c>
      <c r="M1142">
        <f t="shared" ca="1" si="68"/>
        <v>1122</v>
      </c>
      <c r="N1142" s="3" t="str" cm="1">
        <f t="array" ref="N1142">_xlfn.IFS(I1142&gt;=3.5,"Excellent",I1142&gt;=3,"Good",I1142&gt;=2,"Average",I1142&lt;2,"Poor")</f>
        <v>Excellent</v>
      </c>
      <c r="P1142" t="str">
        <f t="shared" si="69"/>
        <v/>
      </c>
      <c r="Q1142">
        <f t="shared" si="70"/>
        <v>51404</v>
      </c>
      <c r="R1142">
        <v>2022</v>
      </c>
      <c r="X1142" t="str">
        <f t="shared" ca="1" si="71"/>
        <v/>
      </c>
    </row>
    <row r="1143" spans="1:24" x14ac:dyDescent="0.25">
      <c r="A1143" t="s">
        <v>2307</v>
      </c>
      <c r="B1143" t="s">
        <v>2308</v>
      </c>
      <c r="C1143" t="s">
        <v>54</v>
      </c>
      <c r="D1143" t="s">
        <v>31</v>
      </c>
      <c r="E1143" s="1">
        <v>45363</v>
      </c>
      <c r="F1143" t="s">
        <v>14</v>
      </c>
      <c r="G1143">
        <v>14486</v>
      </c>
      <c r="H1143">
        <v>3971</v>
      </c>
      <c r="I1143">
        <v>3.31</v>
      </c>
      <c r="J1143">
        <v>97</v>
      </c>
      <c r="M1143">
        <f t="shared" ca="1" si="68"/>
        <v>486</v>
      </c>
      <c r="N1143" s="3" t="str" cm="1">
        <f t="array" ref="N1143">_xlfn.IFS(I1143&gt;=3.5,"Excellent",I1143&gt;=3,"Good",I1143&gt;=2,"Average",I1143&lt;2,"Poor")</f>
        <v>Good</v>
      </c>
      <c r="P1143" t="str">
        <f t="shared" si="69"/>
        <v/>
      </c>
      <c r="Q1143">
        <f t="shared" si="70"/>
        <v>51404</v>
      </c>
      <c r="R1143">
        <v>2024</v>
      </c>
      <c r="X1143" t="str">
        <f t="shared" ca="1" si="71"/>
        <v/>
      </c>
    </row>
    <row r="1144" spans="1:24" x14ac:dyDescent="0.25">
      <c r="A1144" t="s">
        <v>2309</v>
      </c>
      <c r="B1144" t="s">
        <v>2310</v>
      </c>
      <c r="C1144" t="s">
        <v>25</v>
      </c>
      <c r="D1144" t="s">
        <v>18</v>
      </c>
      <c r="E1144" s="1">
        <v>45441</v>
      </c>
      <c r="F1144" t="s">
        <v>19</v>
      </c>
      <c r="G1144">
        <v>9401</v>
      </c>
      <c r="H1144">
        <v>6397</v>
      </c>
      <c r="I1144">
        <v>3.79</v>
      </c>
      <c r="J1144">
        <v>99</v>
      </c>
      <c r="M1144" t="str">
        <f t="shared" ca="1" si="68"/>
        <v/>
      </c>
      <c r="N1144" s="3" t="str" cm="1">
        <f t="array" ref="N1144">_xlfn.IFS(I1144&gt;=3.5,"Excellent",I1144&gt;=3,"Good",I1144&gt;=2,"Average",I1144&lt;2,"Poor")</f>
        <v>Excellent</v>
      </c>
      <c r="P1144" t="str">
        <f t="shared" si="69"/>
        <v>True</v>
      </c>
      <c r="Q1144">
        <f t="shared" si="70"/>
        <v>51404</v>
      </c>
      <c r="R1144">
        <v>2024</v>
      </c>
      <c r="X1144">
        <f t="shared" ca="1" si="71"/>
        <v>408</v>
      </c>
    </row>
    <row r="1145" spans="1:24" x14ac:dyDescent="0.25">
      <c r="A1145" t="s">
        <v>2311</v>
      </c>
      <c r="B1145" t="s">
        <v>2312</v>
      </c>
      <c r="C1145" t="s">
        <v>25</v>
      </c>
      <c r="D1145" t="s">
        <v>13</v>
      </c>
      <c r="E1145" s="1">
        <v>45335</v>
      </c>
      <c r="F1145" t="s">
        <v>14</v>
      </c>
      <c r="G1145">
        <v>9412</v>
      </c>
      <c r="H1145">
        <v>8356</v>
      </c>
      <c r="I1145">
        <v>2.4900000000000002</v>
      </c>
      <c r="J1145">
        <v>57</v>
      </c>
      <c r="M1145">
        <f t="shared" ca="1" si="68"/>
        <v>514</v>
      </c>
      <c r="N1145" s="3" t="str" cm="1">
        <f t="array" ref="N1145">_xlfn.IFS(I1145&gt;=3.5,"Excellent",I1145&gt;=3,"Good",I1145&gt;=2,"Average",I1145&lt;2,"Poor")</f>
        <v>Average</v>
      </c>
      <c r="P1145" t="str">
        <f t="shared" si="69"/>
        <v>True</v>
      </c>
      <c r="Q1145">
        <f t="shared" si="70"/>
        <v>42003</v>
      </c>
      <c r="R1145">
        <v>2024</v>
      </c>
      <c r="X1145" t="str">
        <f t="shared" ca="1" si="71"/>
        <v/>
      </c>
    </row>
    <row r="1146" spans="1:24" x14ac:dyDescent="0.25">
      <c r="A1146" t="s">
        <v>2313</v>
      </c>
      <c r="B1146" t="s">
        <v>2314</v>
      </c>
      <c r="C1146" t="s">
        <v>54</v>
      </c>
      <c r="D1146" t="s">
        <v>13</v>
      </c>
      <c r="E1146" s="1">
        <v>45271</v>
      </c>
      <c r="F1146" t="s">
        <v>14</v>
      </c>
      <c r="G1146">
        <v>4940</v>
      </c>
      <c r="H1146">
        <v>3090</v>
      </c>
      <c r="I1146">
        <v>3.66</v>
      </c>
      <c r="J1146">
        <v>59</v>
      </c>
      <c r="M1146">
        <f t="shared" ca="1" si="68"/>
        <v>578</v>
      </c>
      <c r="N1146" s="3" t="str" cm="1">
        <f t="array" ref="N1146">_xlfn.IFS(I1146&gt;=3.5,"Excellent",I1146&gt;=3,"Good",I1146&gt;=2,"Average",I1146&lt;2,"Poor")</f>
        <v>Excellent</v>
      </c>
      <c r="P1146" t="str">
        <f t="shared" si="69"/>
        <v>True</v>
      </c>
      <c r="Q1146">
        <f t="shared" si="70"/>
        <v>42003</v>
      </c>
      <c r="R1146">
        <v>2023</v>
      </c>
      <c r="X1146" t="str">
        <f t="shared" ca="1" si="71"/>
        <v/>
      </c>
    </row>
    <row r="1147" spans="1:24" x14ac:dyDescent="0.25">
      <c r="A1147" t="s">
        <v>2315</v>
      </c>
      <c r="B1147" t="s">
        <v>2316</v>
      </c>
      <c r="C1147" t="s">
        <v>17</v>
      </c>
      <c r="D1147" t="s">
        <v>62</v>
      </c>
      <c r="E1147" s="1">
        <v>45416</v>
      </c>
      <c r="F1147" t="s">
        <v>19</v>
      </c>
      <c r="G1147">
        <v>2258</v>
      </c>
      <c r="H1147">
        <v>2167</v>
      </c>
      <c r="I1147">
        <v>3.71</v>
      </c>
      <c r="J1147">
        <v>37</v>
      </c>
      <c r="M1147" t="str">
        <f t="shared" ca="1" si="68"/>
        <v/>
      </c>
      <c r="N1147" s="3" t="str" cm="1">
        <f t="array" ref="N1147">_xlfn.IFS(I1147&gt;=3.5,"Excellent",I1147&gt;=3,"Good",I1147&gt;=2,"Average",I1147&lt;2,"Poor")</f>
        <v>Excellent</v>
      </c>
      <c r="P1147" t="str">
        <f t="shared" si="69"/>
        <v>True</v>
      </c>
      <c r="Q1147">
        <f t="shared" si="70"/>
        <v>42003</v>
      </c>
      <c r="R1147">
        <v>2024</v>
      </c>
      <c r="X1147">
        <f t="shared" ca="1" si="71"/>
        <v>433</v>
      </c>
    </row>
    <row r="1148" spans="1:24" x14ac:dyDescent="0.25">
      <c r="A1148" t="s">
        <v>2317</v>
      </c>
      <c r="B1148" t="s">
        <v>2318</v>
      </c>
      <c r="C1148" t="s">
        <v>54</v>
      </c>
      <c r="D1148" t="s">
        <v>62</v>
      </c>
      <c r="E1148" s="1">
        <v>45105</v>
      </c>
      <c r="F1148" t="s">
        <v>14</v>
      </c>
      <c r="G1148">
        <v>12187</v>
      </c>
      <c r="H1148">
        <v>6773</v>
      </c>
      <c r="I1148">
        <v>3.49</v>
      </c>
      <c r="J1148">
        <v>74</v>
      </c>
      <c r="M1148">
        <f t="shared" ca="1" si="68"/>
        <v>744</v>
      </c>
      <c r="N1148" s="3" t="str" cm="1">
        <f t="array" ref="N1148">_xlfn.IFS(I1148&gt;=3.5,"Excellent",I1148&gt;=3,"Good",I1148&gt;=2,"Average",I1148&lt;2,"Poor")</f>
        <v>Good</v>
      </c>
      <c r="P1148" t="str">
        <f t="shared" si="69"/>
        <v>True</v>
      </c>
      <c r="Q1148">
        <f t="shared" si="70"/>
        <v>42003</v>
      </c>
      <c r="R1148">
        <v>2023</v>
      </c>
      <c r="X1148" t="str">
        <f t="shared" ca="1" si="71"/>
        <v/>
      </c>
    </row>
    <row r="1149" spans="1:24" x14ac:dyDescent="0.25">
      <c r="A1149" t="s">
        <v>2319</v>
      </c>
      <c r="B1149" t="s">
        <v>2320</v>
      </c>
      <c r="C1149" t="s">
        <v>57</v>
      </c>
      <c r="D1149" t="s">
        <v>31</v>
      </c>
      <c r="E1149" s="1">
        <v>44855</v>
      </c>
      <c r="F1149" t="s">
        <v>14</v>
      </c>
      <c r="G1149">
        <v>11200</v>
      </c>
      <c r="H1149">
        <v>302</v>
      </c>
      <c r="I1149">
        <v>2.75</v>
      </c>
      <c r="J1149">
        <v>13</v>
      </c>
      <c r="M1149">
        <f t="shared" ca="1" si="68"/>
        <v>994</v>
      </c>
      <c r="N1149" s="3" t="str" cm="1">
        <f t="array" ref="N1149">_xlfn.IFS(I1149&gt;=3.5,"Excellent",I1149&gt;=3,"Good",I1149&gt;=2,"Average",I1149&lt;2,"Poor")</f>
        <v>Average</v>
      </c>
      <c r="P1149" t="str">
        <f t="shared" si="69"/>
        <v/>
      </c>
      <c r="Q1149">
        <f t="shared" si="70"/>
        <v>42003</v>
      </c>
      <c r="R1149">
        <v>2022</v>
      </c>
      <c r="X1149" t="str">
        <f t="shared" ca="1" si="71"/>
        <v/>
      </c>
    </row>
    <row r="1150" spans="1:24" x14ac:dyDescent="0.25">
      <c r="A1150" t="s">
        <v>2321</v>
      </c>
      <c r="B1150" t="s">
        <v>2322</v>
      </c>
      <c r="C1150" t="s">
        <v>25</v>
      </c>
      <c r="D1150" t="s">
        <v>18</v>
      </c>
      <c r="E1150" s="1">
        <v>44909</v>
      </c>
      <c r="F1150" t="s">
        <v>14</v>
      </c>
      <c r="G1150">
        <v>3576</v>
      </c>
      <c r="H1150">
        <v>1605</v>
      </c>
      <c r="I1150">
        <v>2.0699999999999998</v>
      </c>
      <c r="J1150">
        <v>18</v>
      </c>
      <c r="M1150">
        <f t="shared" ca="1" si="68"/>
        <v>940</v>
      </c>
      <c r="N1150" s="3" t="str" cm="1">
        <f t="array" ref="N1150">_xlfn.IFS(I1150&gt;=3.5,"Excellent",I1150&gt;=3,"Good",I1150&gt;=2,"Average",I1150&lt;2,"Poor")</f>
        <v>Average</v>
      </c>
      <c r="P1150" t="str">
        <f t="shared" si="69"/>
        <v/>
      </c>
      <c r="Q1150">
        <f t="shared" si="70"/>
        <v>42003</v>
      </c>
      <c r="R1150">
        <v>2022</v>
      </c>
      <c r="X1150" t="str">
        <f t="shared" ca="1" si="71"/>
        <v/>
      </c>
    </row>
    <row r="1151" spans="1:24" x14ac:dyDescent="0.25">
      <c r="A1151" t="s">
        <v>2323</v>
      </c>
      <c r="B1151" t="s">
        <v>2324</v>
      </c>
      <c r="C1151" t="s">
        <v>22</v>
      </c>
      <c r="D1151" t="s">
        <v>31</v>
      </c>
      <c r="E1151" s="1">
        <v>45250</v>
      </c>
      <c r="F1151" t="s">
        <v>14</v>
      </c>
      <c r="G1151">
        <v>6142</v>
      </c>
      <c r="H1151">
        <v>1679</v>
      </c>
      <c r="I1151">
        <v>2.72</v>
      </c>
      <c r="J1151">
        <v>82</v>
      </c>
      <c r="M1151">
        <f t="shared" ca="1" si="68"/>
        <v>599</v>
      </c>
      <c r="N1151" s="3" t="str" cm="1">
        <f t="array" ref="N1151">_xlfn.IFS(I1151&gt;=3.5,"Excellent",I1151&gt;=3,"Good",I1151&gt;=2,"Average",I1151&lt;2,"Poor")</f>
        <v>Average</v>
      </c>
      <c r="P1151" t="str">
        <f t="shared" si="69"/>
        <v/>
      </c>
      <c r="Q1151">
        <f t="shared" si="70"/>
        <v>42003</v>
      </c>
      <c r="R1151">
        <v>2023</v>
      </c>
      <c r="X1151" t="str">
        <f t="shared" ca="1" si="71"/>
        <v/>
      </c>
    </row>
    <row r="1152" spans="1:24" x14ac:dyDescent="0.25">
      <c r="A1152" t="s">
        <v>2325</v>
      </c>
      <c r="B1152" t="s">
        <v>2326</v>
      </c>
      <c r="C1152" t="s">
        <v>28</v>
      </c>
      <c r="D1152" t="s">
        <v>18</v>
      </c>
      <c r="E1152" s="1">
        <v>45054</v>
      </c>
      <c r="F1152" t="s">
        <v>14</v>
      </c>
      <c r="G1152">
        <v>11980</v>
      </c>
      <c r="H1152">
        <v>6646</v>
      </c>
      <c r="I1152">
        <v>2.04</v>
      </c>
      <c r="J1152">
        <v>84</v>
      </c>
      <c r="M1152">
        <f t="shared" ca="1" si="68"/>
        <v>795</v>
      </c>
      <c r="N1152" s="3" t="str" cm="1">
        <f t="array" ref="N1152">_xlfn.IFS(I1152&gt;=3.5,"Excellent",I1152&gt;=3,"Good",I1152&gt;=2,"Average",I1152&lt;2,"Poor")</f>
        <v>Average</v>
      </c>
      <c r="P1152" t="str">
        <f t="shared" si="69"/>
        <v>True</v>
      </c>
      <c r="Q1152">
        <f t="shared" si="70"/>
        <v>42003</v>
      </c>
      <c r="R1152">
        <v>2023</v>
      </c>
      <c r="X1152" t="str">
        <f t="shared" ca="1" si="71"/>
        <v/>
      </c>
    </row>
    <row r="1153" spans="1:24" x14ac:dyDescent="0.25">
      <c r="A1153" t="s">
        <v>2327</v>
      </c>
      <c r="B1153" t="s">
        <v>2328</v>
      </c>
      <c r="C1153" t="s">
        <v>25</v>
      </c>
      <c r="D1153" t="s">
        <v>18</v>
      </c>
      <c r="E1153" s="1">
        <v>45461</v>
      </c>
      <c r="F1153" t="s">
        <v>14</v>
      </c>
      <c r="G1153">
        <v>7486</v>
      </c>
      <c r="H1153">
        <v>7006</v>
      </c>
      <c r="I1153">
        <v>2.86</v>
      </c>
      <c r="J1153">
        <v>104</v>
      </c>
      <c r="M1153">
        <f t="shared" ca="1" si="68"/>
        <v>388</v>
      </c>
      <c r="N1153" s="3" t="str" cm="1">
        <f t="array" ref="N1153">_xlfn.IFS(I1153&gt;=3.5,"Excellent",I1153&gt;=3,"Good",I1153&gt;=2,"Average",I1153&lt;2,"Poor")</f>
        <v>Average</v>
      </c>
      <c r="P1153" t="str">
        <f t="shared" si="69"/>
        <v>True</v>
      </c>
      <c r="Q1153">
        <f t="shared" si="70"/>
        <v>42003</v>
      </c>
      <c r="R1153">
        <v>2024</v>
      </c>
      <c r="X1153" t="str">
        <f t="shared" ca="1" si="71"/>
        <v/>
      </c>
    </row>
    <row r="1154" spans="1:24" x14ac:dyDescent="0.25">
      <c r="A1154" t="s">
        <v>2329</v>
      </c>
      <c r="B1154" t="s">
        <v>2330</v>
      </c>
      <c r="C1154" t="s">
        <v>54</v>
      </c>
      <c r="D1154" t="s">
        <v>13</v>
      </c>
      <c r="E1154" s="1">
        <v>45233</v>
      </c>
      <c r="F1154" t="s">
        <v>14</v>
      </c>
      <c r="G1154">
        <v>5997</v>
      </c>
      <c r="H1154">
        <v>6311</v>
      </c>
      <c r="I1154">
        <v>2.66</v>
      </c>
      <c r="J1154">
        <v>49</v>
      </c>
      <c r="M1154">
        <f t="shared" ca="1" si="68"/>
        <v>616</v>
      </c>
      <c r="N1154" s="3" t="str" cm="1">
        <f t="array" ref="N1154">_xlfn.IFS(I1154&gt;=3.5,"Excellent",I1154&gt;=3,"Good",I1154&gt;=2,"Average",I1154&lt;2,"Poor")</f>
        <v>Average</v>
      </c>
      <c r="P1154" t="str">
        <f t="shared" si="69"/>
        <v>True</v>
      </c>
      <c r="Q1154">
        <f t="shared" si="70"/>
        <v>42003</v>
      </c>
      <c r="R1154">
        <v>2023</v>
      </c>
      <c r="X1154" t="str">
        <f t="shared" ca="1" si="71"/>
        <v/>
      </c>
    </row>
    <row r="1155" spans="1:24" x14ac:dyDescent="0.25">
      <c r="A1155" t="s">
        <v>2331</v>
      </c>
      <c r="B1155" t="s">
        <v>2332</v>
      </c>
      <c r="C1155" t="s">
        <v>54</v>
      </c>
      <c r="D1155" t="s">
        <v>31</v>
      </c>
      <c r="E1155" s="1">
        <v>44609</v>
      </c>
      <c r="F1155" t="s">
        <v>19</v>
      </c>
      <c r="G1155">
        <v>10841</v>
      </c>
      <c r="H1155">
        <v>3690</v>
      </c>
      <c r="I1155">
        <v>2.39</v>
      </c>
      <c r="J1155">
        <v>68</v>
      </c>
      <c r="M1155" t="str">
        <f t="shared" ref="M1155:M1201" ca="1" si="72">IF(F1155="Enrolled",TODAY()-E1155,"")</f>
        <v/>
      </c>
      <c r="N1155" s="3" t="str" cm="1">
        <f t="array" ref="N1155">_xlfn.IFS(I1155&gt;=3.5,"Excellent",I1155&gt;=3,"Good",I1155&gt;=2,"Average",I1155&lt;2,"Poor")</f>
        <v>Average</v>
      </c>
      <c r="P1155" t="str">
        <f t="shared" ref="P1155:P1201" si="73">IF(H1155&gt;0.5*G1155,"True","")</f>
        <v/>
      </c>
      <c r="Q1155">
        <f t="shared" ref="Q1155:Q1201" si="74">SUMIFS(G1155:G2354,F1155:F2354,"Completed",D1155:D2354,"Science")</f>
        <v>42003</v>
      </c>
      <c r="R1155">
        <v>2022</v>
      </c>
      <c r="X1155">
        <f t="shared" ref="X1155:X1201" ca="1" si="75">IF(F1155="Completed",TODAY()-E1155,"")</f>
        <v>1240</v>
      </c>
    </row>
    <row r="1156" spans="1:24" x14ac:dyDescent="0.25">
      <c r="A1156" t="s">
        <v>2333</v>
      </c>
      <c r="B1156" t="s">
        <v>2334</v>
      </c>
      <c r="C1156" t="s">
        <v>25</v>
      </c>
      <c r="D1156" t="s">
        <v>62</v>
      </c>
      <c r="E1156" s="1">
        <v>45176</v>
      </c>
      <c r="F1156" t="s">
        <v>14</v>
      </c>
      <c r="G1156">
        <v>3841</v>
      </c>
      <c r="H1156">
        <v>4198</v>
      </c>
      <c r="I1156">
        <v>2.38</v>
      </c>
      <c r="J1156">
        <v>53</v>
      </c>
      <c r="M1156">
        <f t="shared" ca="1" si="72"/>
        <v>673</v>
      </c>
      <c r="N1156" s="3" t="str" cm="1">
        <f t="array" ref="N1156">_xlfn.IFS(I1156&gt;=3.5,"Excellent",I1156&gt;=3,"Good",I1156&gt;=2,"Average",I1156&lt;2,"Poor")</f>
        <v>Average</v>
      </c>
      <c r="P1156" t="str">
        <f t="shared" si="73"/>
        <v>True</v>
      </c>
      <c r="Q1156">
        <f t="shared" si="74"/>
        <v>42003</v>
      </c>
      <c r="R1156">
        <v>2023</v>
      </c>
      <c r="X1156" t="str">
        <f t="shared" ca="1" si="75"/>
        <v/>
      </c>
    </row>
    <row r="1157" spans="1:24" x14ac:dyDescent="0.25">
      <c r="A1157" t="s">
        <v>2335</v>
      </c>
      <c r="B1157" t="s">
        <v>2336</v>
      </c>
      <c r="C1157" t="s">
        <v>12</v>
      </c>
      <c r="D1157" t="s">
        <v>62</v>
      </c>
      <c r="E1157" s="1">
        <v>45455</v>
      </c>
      <c r="F1157" t="s">
        <v>14</v>
      </c>
      <c r="G1157">
        <v>13164</v>
      </c>
      <c r="H1157">
        <v>4550</v>
      </c>
      <c r="I1157">
        <v>3.08</v>
      </c>
      <c r="J1157">
        <v>62</v>
      </c>
      <c r="M1157">
        <f t="shared" ca="1" si="72"/>
        <v>394</v>
      </c>
      <c r="N1157" s="3" t="str" cm="1">
        <f t="array" ref="N1157">_xlfn.IFS(I1157&gt;=3.5,"Excellent",I1157&gt;=3,"Good",I1157&gt;=2,"Average",I1157&lt;2,"Poor")</f>
        <v>Good</v>
      </c>
      <c r="P1157" t="str">
        <f t="shared" si="73"/>
        <v/>
      </c>
      <c r="Q1157">
        <f t="shared" si="74"/>
        <v>42003</v>
      </c>
      <c r="R1157">
        <v>2024</v>
      </c>
      <c r="X1157" t="str">
        <f t="shared" ca="1" si="75"/>
        <v/>
      </c>
    </row>
    <row r="1158" spans="1:24" x14ac:dyDescent="0.25">
      <c r="A1158" t="s">
        <v>2337</v>
      </c>
      <c r="B1158" t="s">
        <v>2338</v>
      </c>
      <c r="C1158" t="s">
        <v>22</v>
      </c>
      <c r="D1158" t="s">
        <v>13</v>
      </c>
      <c r="E1158" s="1">
        <v>44983</v>
      </c>
      <c r="F1158" t="s">
        <v>39</v>
      </c>
      <c r="G1158">
        <v>5796</v>
      </c>
      <c r="H1158">
        <v>9267</v>
      </c>
      <c r="I1158">
        <v>3.81</v>
      </c>
      <c r="J1158">
        <v>68</v>
      </c>
      <c r="M1158" t="str">
        <f t="shared" ca="1" si="72"/>
        <v/>
      </c>
      <c r="N1158" s="3" t="str" cm="1">
        <f t="array" ref="N1158">_xlfn.IFS(I1158&gt;=3.5,"Excellent",I1158&gt;=3,"Good",I1158&gt;=2,"Average",I1158&lt;2,"Poor")</f>
        <v>Excellent</v>
      </c>
      <c r="P1158" t="str">
        <f t="shared" si="73"/>
        <v>True</v>
      </c>
      <c r="Q1158">
        <f t="shared" si="74"/>
        <v>42003</v>
      </c>
      <c r="R1158">
        <v>2023</v>
      </c>
      <c r="X1158" t="str">
        <f t="shared" ca="1" si="75"/>
        <v/>
      </c>
    </row>
    <row r="1159" spans="1:24" x14ac:dyDescent="0.25">
      <c r="A1159" t="s">
        <v>2339</v>
      </c>
      <c r="B1159" t="s">
        <v>2340</v>
      </c>
      <c r="C1159" t="s">
        <v>22</v>
      </c>
      <c r="D1159" t="s">
        <v>31</v>
      </c>
      <c r="E1159" s="1">
        <v>44734</v>
      </c>
      <c r="F1159" t="s">
        <v>14</v>
      </c>
      <c r="G1159">
        <v>9635</v>
      </c>
      <c r="H1159">
        <v>3090</v>
      </c>
      <c r="I1159">
        <v>2.99</v>
      </c>
      <c r="J1159">
        <v>33</v>
      </c>
      <c r="M1159">
        <f t="shared" ca="1" si="72"/>
        <v>1115</v>
      </c>
      <c r="N1159" s="3" t="str" cm="1">
        <f t="array" ref="N1159">_xlfn.IFS(I1159&gt;=3.5,"Excellent",I1159&gt;=3,"Good",I1159&gt;=2,"Average",I1159&lt;2,"Poor")</f>
        <v>Average</v>
      </c>
      <c r="P1159" t="str">
        <f t="shared" si="73"/>
        <v/>
      </c>
      <c r="Q1159">
        <f t="shared" si="74"/>
        <v>42003</v>
      </c>
      <c r="R1159">
        <v>2022</v>
      </c>
      <c r="X1159" t="str">
        <f t="shared" ca="1" si="75"/>
        <v/>
      </c>
    </row>
    <row r="1160" spans="1:24" x14ac:dyDescent="0.25">
      <c r="A1160" t="s">
        <v>2341</v>
      </c>
      <c r="B1160" t="s">
        <v>2342</v>
      </c>
      <c r="C1160" t="s">
        <v>17</v>
      </c>
      <c r="D1160" t="s">
        <v>13</v>
      </c>
      <c r="E1160" s="1">
        <v>45343</v>
      </c>
      <c r="F1160" t="s">
        <v>14</v>
      </c>
      <c r="G1160">
        <v>2086</v>
      </c>
      <c r="H1160">
        <v>9790</v>
      </c>
      <c r="I1160">
        <v>2.17</v>
      </c>
      <c r="J1160">
        <v>27</v>
      </c>
      <c r="M1160">
        <f t="shared" ca="1" si="72"/>
        <v>506</v>
      </c>
      <c r="N1160" s="3" t="str" cm="1">
        <f t="array" ref="N1160">_xlfn.IFS(I1160&gt;=3.5,"Excellent",I1160&gt;=3,"Good",I1160&gt;=2,"Average",I1160&lt;2,"Poor")</f>
        <v>Average</v>
      </c>
      <c r="P1160" t="str">
        <f t="shared" si="73"/>
        <v>True</v>
      </c>
      <c r="Q1160">
        <f t="shared" si="74"/>
        <v>42003</v>
      </c>
      <c r="R1160">
        <v>2024</v>
      </c>
      <c r="X1160" t="str">
        <f t="shared" ca="1" si="75"/>
        <v/>
      </c>
    </row>
    <row r="1161" spans="1:24" x14ac:dyDescent="0.25">
      <c r="A1161" t="s">
        <v>2343</v>
      </c>
      <c r="B1161" t="s">
        <v>2344</v>
      </c>
      <c r="C1161" t="s">
        <v>22</v>
      </c>
      <c r="D1161" t="s">
        <v>31</v>
      </c>
      <c r="E1161" s="1">
        <v>44866</v>
      </c>
      <c r="F1161" t="s">
        <v>14</v>
      </c>
      <c r="G1161">
        <v>8164</v>
      </c>
      <c r="H1161">
        <v>1674</v>
      </c>
      <c r="I1161">
        <v>3.24</v>
      </c>
      <c r="J1161">
        <v>114</v>
      </c>
      <c r="M1161">
        <f t="shared" ca="1" si="72"/>
        <v>983</v>
      </c>
      <c r="N1161" s="3" t="str" cm="1">
        <f t="array" ref="N1161">_xlfn.IFS(I1161&gt;=3.5,"Excellent",I1161&gt;=3,"Good",I1161&gt;=2,"Average",I1161&lt;2,"Poor")</f>
        <v>Good</v>
      </c>
      <c r="P1161" t="str">
        <f t="shared" si="73"/>
        <v/>
      </c>
      <c r="Q1161">
        <f t="shared" si="74"/>
        <v>42003</v>
      </c>
      <c r="R1161">
        <v>2022</v>
      </c>
      <c r="X1161" t="str">
        <f t="shared" ca="1" si="75"/>
        <v/>
      </c>
    </row>
    <row r="1162" spans="1:24" x14ac:dyDescent="0.25">
      <c r="A1162" t="s">
        <v>2345</v>
      </c>
      <c r="B1162" t="s">
        <v>2346</v>
      </c>
      <c r="C1162" t="s">
        <v>28</v>
      </c>
      <c r="D1162" t="s">
        <v>18</v>
      </c>
      <c r="E1162" s="1">
        <v>45446</v>
      </c>
      <c r="F1162" t="s">
        <v>19</v>
      </c>
      <c r="G1162">
        <v>8694</v>
      </c>
      <c r="H1162">
        <v>4198</v>
      </c>
      <c r="I1162">
        <v>3.36</v>
      </c>
      <c r="J1162">
        <v>28</v>
      </c>
      <c r="M1162" t="str">
        <f t="shared" ca="1" si="72"/>
        <v/>
      </c>
      <c r="N1162" s="3" t="str" cm="1">
        <f t="array" ref="N1162">_xlfn.IFS(I1162&gt;=3.5,"Excellent",I1162&gt;=3,"Good",I1162&gt;=2,"Average",I1162&lt;2,"Poor")</f>
        <v>Good</v>
      </c>
      <c r="P1162" t="str">
        <f t="shared" si="73"/>
        <v/>
      </c>
      <c r="Q1162">
        <f t="shared" si="74"/>
        <v>42003</v>
      </c>
      <c r="R1162">
        <v>2024</v>
      </c>
      <c r="X1162">
        <f t="shared" ca="1" si="75"/>
        <v>403</v>
      </c>
    </row>
    <row r="1163" spans="1:24" x14ac:dyDescent="0.25">
      <c r="A1163" t="s">
        <v>2347</v>
      </c>
      <c r="B1163" t="s">
        <v>2348</v>
      </c>
      <c r="C1163" t="s">
        <v>17</v>
      </c>
      <c r="D1163" t="s">
        <v>13</v>
      </c>
      <c r="E1163" s="1">
        <v>45108</v>
      </c>
      <c r="F1163" t="s">
        <v>39</v>
      </c>
      <c r="G1163">
        <v>2766</v>
      </c>
      <c r="H1163">
        <v>3689</v>
      </c>
      <c r="I1163">
        <v>2.29</v>
      </c>
      <c r="J1163">
        <v>38</v>
      </c>
      <c r="M1163" t="str">
        <f t="shared" ca="1" si="72"/>
        <v/>
      </c>
      <c r="N1163" s="3" t="str" cm="1">
        <f t="array" ref="N1163">_xlfn.IFS(I1163&gt;=3.5,"Excellent",I1163&gt;=3,"Good",I1163&gt;=2,"Average",I1163&lt;2,"Poor")</f>
        <v>Average</v>
      </c>
      <c r="P1163" t="str">
        <f t="shared" si="73"/>
        <v>True</v>
      </c>
      <c r="Q1163">
        <f t="shared" si="74"/>
        <v>33309</v>
      </c>
      <c r="R1163">
        <v>2023</v>
      </c>
      <c r="X1163" t="str">
        <f t="shared" ca="1" si="75"/>
        <v/>
      </c>
    </row>
    <row r="1164" spans="1:24" x14ac:dyDescent="0.25">
      <c r="A1164" t="s">
        <v>2349</v>
      </c>
      <c r="B1164" t="s">
        <v>2350</v>
      </c>
      <c r="C1164" t="s">
        <v>57</v>
      </c>
      <c r="D1164" t="s">
        <v>18</v>
      </c>
      <c r="E1164" s="1">
        <v>44817</v>
      </c>
      <c r="F1164" t="s">
        <v>14</v>
      </c>
      <c r="G1164">
        <v>8228</v>
      </c>
      <c r="H1164">
        <v>2328</v>
      </c>
      <c r="I1164">
        <v>2.2000000000000002</v>
      </c>
      <c r="J1164">
        <v>113</v>
      </c>
      <c r="M1164">
        <f t="shared" ca="1" si="72"/>
        <v>1032</v>
      </c>
      <c r="N1164" s="3" t="str" cm="1">
        <f t="array" ref="N1164">_xlfn.IFS(I1164&gt;=3.5,"Excellent",I1164&gt;=3,"Good",I1164&gt;=2,"Average",I1164&lt;2,"Poor")</f>
        <v>Average</v>
      </c>
      <c r="P1164" t="str">
        <f t="shared" si="73"/>
        <v/>
      </c>
      <c r="Q1164">
        <f t="shared" si="74"/>
        <v>33309</v>
      </c>
      <c r="R1164">
        <v>2022</v>
      </c>
      <c r="X1164" t="str">
        <f t="shared" ca="1" si="75"/>
        <v/>
      </c>
    </row>
    <row r="1165" spans="1:24" x14ac:dyDescent="0.25">
      <c r="A1165" t="s">
        <v>2351</v>
      </c>
      <c r="B1165" t="s">
        <v>2352</v>
      </c>
      <c r="C1165" t="s">
        <v>17</v>
      </c>
      <c r="D1165" t="s">
        <v>31</v>
      </c>
      <c r="E1165" s="1">
        <v>44946</v>
      </c>
      <c r="F1165" t="s">
        <v>14</v>
      </c>
      <c r="G1165">
        <v>6310</v>
      </c>
      <c r="H1165">
        <v>6133</v>
      </c>
      <c r="I1165">
        <v>3.37</v>
      </c>
      <c r="J1165">
        <v>82</v>
      </c>
      <c r="M1165">
        <f t="shared" ca="1" si="72"/>
        <v>903</v>
      </c>
      <c r="N1165" s="3" t="str" cm="1">
        <f t="array" ref="N1165">_xlfn.IFS(I1165&gt;=3.5,"Excellent",I1165&gt;=3,"Good",I1165&gt;=2,"Average",I1165&lt;2,"Poor")</f>
        <v>Good</v>
      </c>
      <c r="P1165" t="str">
        <f t="shared" si="73"/>
        <v>True</v>
      </c>
      <c r="Q1165">
        <f t="shared" si="74"/>
        <v>33309</v>
      </c>
      <c r="R1165">
        <v>2023</v>
      </c>
      <c r="X1165" t="str">
        <f t="shared" ca="1" si="75"/>
        <v/>
      </c>
    </row>
    <row r="1166" spans="1:24" x14ac:dyDescent="0.25">
      <c r="A1166" t="s">
        <v>2353</v>
      </c>
      <c r="B1166" t="s">
        <v>2354</v>
      </c>
      <c r="C1166" t="s">
        <v>22</v>
      </c>
      <c r="D1166" t="s">
        <v>13</v>
      </c>
      <c r="E1166" s="1">
        <v>44730</v>
      </c>
      <c r="F1166" t="s">
        <v>19</v>
      </c>
      <c r="G1166">
        <v>7845</v>
      </c>
      <c r="H1166">
        <v>8796</v>
      </c>
      <c r="I1166">
        <v>3.54</v>
      </c>
      <c r="J1166">
        <v>22</v>
      </c>
      <c r="M1166" t="str">
        <f t="shared" ca="1" si="72"/>
        <v/>
      </c>
      <c r="N1166" s="3" t="str" cm="1">
        <f t="array" ref="N1166">_xlfn.IFS(I1166&gt;=3.5,"Excellent",I1166&gt;=3,"Good",I1166&gt;=2,"Average",I1166&lt;2,"Poor")</f>
        <v>Excellent</v>
      </c>
      <c r="P1166" t="str">
        <f t="shared" si="73"/>
        <v>True</v>
      </c>
      <c r="Q1166">
        <f t="shared" si="74"/>
        <v>33309</v>
      </c>
      <c r="R1166">
        <v>2022</v>
      </c>
      <c r="X1166">
        <f t="shared" ca="1" si="75"/>
        <v>1119</v>
      </c>
    </row>
    <row r="1167" spans="1:24" x14ac:dyDescent="0.25">
      <c r="A1167" t="s">
        <v>2355</v>
      </c>
      <c r="B1167" t="s">
        <v>2356</v>
      </c>
      <c r="C1167" t="s">
        <v>12</v>
      </c>
      <c r="D1167" t="s">
        <v>13</v>
      </c>
      <c r="E1167" s="1">
        <v>44800</v>
      </c>
      <c r="F1167" t="s">
        <v>14</v>
      </c>
      <c r="G1167">
        <v>9700</v>
      </c>
      <c r="H1167">
        <v>5277</v>
      </c>
      <c r="I1167">
        <v>3.74</v>
      </c>
      <c r="J1167">
        <v>61</v>
      </c>
      <c r="M1167">
        <f t="shared" ca="1" si="72"/>
        <v>1049</v>
      </c>
      <c r="N1167" s="3" t="str" cm="1">
        <f t="array" ref="N1167">_xlfn.IFS(I1167&gt;=3.5,"Excellent",I1167&gt;=3,"Good",I1167&gt;=2,"Average",I1167&lt;2,"Poor")</f>
        <v>Excellent</v>
      </c>
      <c r="P1167" t="str">
        <f t="shared" si="73"/>
        <v>True</v>
      </c>
      <c r="Q1167">
        <f t="shared" si="74"/>
        <v>33309</v>
      </c>
      <c r="R1167">
        <v>2022</v>
      </c>
      <c r="X1167" t="str">
        <f t="shared" ca="1" si="75"/>
        <v/>
      </c>
    </row>
    <row r="1168" spans="1:24" x14ac:dyDescent="0.25">
      <c r="A1168" t="s">
        <v>2357</v>
      </c>
      <c r="B1168" t="s">
        <v>2358</v>
      </c>
      <c r="C1168" t="s">
        <v>36</v>
      </c>
      <c r="D1168" t="s">
        <v>31</v>
      </c>
      <c r="E1168" s="1">
        <v>45438</v>
      </c>
      <c r="F1168" t="s">
        <v>14</v>
      </c>
      <c r="G1168">
        <v>6402</v>
      </c>
      <c r="H1168">
        <v>8298</v>
      </c>
      <c r="I1168">
        <v>2.7</v>
      </c>
      <c r="J1168">
        <v>24</v>
      </c>
      <c r="M1168">
        <f t="shared" ca="1" si="72"/>
        <v>411</v>
      </c>
      <c r="N1168" s="3" t="str" cm="1">
        <f t="array" ref="N1168">_xlfn.IFS(I1168&gt;=3.5,"Excellent",I1168&gt;=3,"Good",I1168&gt;=2,"Average",I1168&lt;2,"Poor")</f>
        <v>Average</v>
      </c>
      <c r="P1168" t="str">
        <f t="shared" si="73"/>
        <v>True</v>
      </c>
      <c r="Q1168">
        <f t="shared" si="74"/>
        <v>33309</v>
      </c>
      <c r="R1168">
        <v>2024</v>
      </c>
      <c r="X1168" t="str">
        <f t="shared" ca="1" si="75"/>
        <v/>
      </c>
    </row>
    <row r="1169" spans="1:24" x14ac:dyDescent="0.25">
      <c r="A1169" t="s">
        <v>2359</v>
      </c>
      <c r="B1169" t="s">
        <v>2360</v>
      </c>
      <c r="C1169" t="s">
        <v>57</v>
      </c>
      <c r="D1169" t="s">
        <v>31</v>
      </c>
      <c r="E1169" s="1">
        <v>45143</v>
      </c>
      <c r="F1169" t="s">
        <v>14</v>
      </c>
      <c r="G1169">
        <v>9573</v>
      </c>
      <c r="H1169">
        <v>6314</v>
      </c>
      <c r="I1169">
        <v>3.03</v>
      </c>
      <c r="J1169">
        <v>20</v>
      </c>
      <c r="M1169">
        <f t="shared" ca="1" si="72"/>
        <v>706</v>
      </c>
      <c r="N1169" s="3" t="str" cm="1">
        <f t="array" ref="N1169">_xlfn.IFS(I1169&gt;=3.5,"Excellent",I1169&gt;=3,"Good",I1169&gt;=2,"Average",I1169&lt;2,"Poor")</f>
        <v>Good</v>
      </c>
      <c r="P1169" t="str">
        <f t="shared" si="73"/>
        <v>True</v>
      </c>
      <c r="Q1169">
        <f t="shared" si="74"/>
        <v>33309</v>
      </c>
      <c r="R1169">
        <v>2023</v>
      </c>
      <c r="X1169" t="str">
        <f t="shared" ca="1" si="75"/>
        <v/>
      </c>
    </row>
    <row r="1170" spans="1:24" x14ac:dyDescent="0.25">
      <c r="A1170" t="s">
        <v>2361</v>
      </c>
      <c r="B1170" t="s">
        <v>2362</v>
      </c>
      <c r="C1170" t="s">
        <v>28</v>
      </c>
      <c r="D1170" t="s">
        <v>13</v>
      </c>
      <c r="E1170" s="1">
        <v>44945</v>
      </c>
      <c r="F1170" t="s">
        <v>19</v>
      </c>
      <c r="G1170">
        <v>7706</v>
      </c>
      <c r="H1170">
        <v>6640</v>
      </c>
      <c r="I1170">
        <v>3.18</v>
      </c>
      <c r="J1170">
        <v>59</v>
      </c>
      <c r="M1170" t="str">
        <f t="shared" ca="1" si="72"/>
        <v/>
      </c>
      <c r="N1170" s="3" t="str" cm="1">
        <f t="array" ref="N1170">_xlfn.IFS(I1170&gt;=3.5,"Excellent",I1170&gt;=3,"Good",I1170&gt;=2,"Average",I1170&lt;2,"Poor")</f>
        <v>Good</v>
      </c>
      <c r="P1170" t="str">
        <f t="shared" si="73"/>
        <v>True</v>
      </c>
      <c r="Q1170">
        <f t="shared" si="74"/>
        <v>33309</v>
      </c>
      <c r="R1170">
        <v>2023</v>
      </c>
      <c r="X1170">
        <f t="shared" ca="1" si="75"/>
        <v>904</v>
      </c>
    </row>
    <row r="1171" spans="1:24" x14ac:dyDescent="0.25">
      <c r="A1171" t="s">
        <v>2363</v>
      </c>
      <c r="B1171" t="s">
        <v>2364</v>
      </c>
      <c r="C1171" t="s">
        <v>12</v>
      </c>
      <c r="D1171" t="s">
        <v>31</v>
      </c>
      <c r="E1171" s="1">
        <v>44744</v>
      </c>
      <c r="F1171" t="s">
        <v>14</v>
      </c>
      <c r="G1171">
        <v>12608</v>
      </c>
      <c r="H1171">
        <v>1280</v>
      </c>
      <c r="I1171">
        <v>2.16</v>
      </c>
      <c r="J1171">
        <v>69</v>
      </c>
      <c r="M1171">
        <f t="shared" ca="1" si="72"/>
        <v>1105</v>
      </c>
      <c r="N1171" s="3" t="str" cm="1">
        <f t="array" ref="N1171">_xlfn.IFS(I1171&gt;=3.5,"Excellent",I1171&gt;=3,"Good",I1171&gt;=2,"Average",I1171&lt;2,"Poor")</f>
        <v>Average</v>
      </c>
      <c r="P1171" t="str">
        <f t="shared" si="73"/>
        <v/>
      </c>
      <c r="Q1171">
        <f t="shared" si="74"/>
        <v>33309</v>
      </c>
      <c r="R1171">
        <v>2022</v>
      </c>
      <c r="X1171" t="str">
        <f t="shared" ca="1" si="75"/>
        <v/>
      </c>
    </row>
    <row r="1172" spans="1:24" x14ac:dyDescent="0.25">
      <c r="A1172" t="s">
        <v>2365</v>
      </c>
      <c r="B1172" t="s">
        <v>2366</v>
      </c>
      <c r="C1172" t="s">
        <v>25</v>
      </c>
      <c r="D1172" t="s">
        <v>62</v>
      </c>
      <c r="E1172" s="1">
        <v>45435</v>
      </c>
      <c r="F1172" t="s">
        <v>19</v>
      </c>
      <c r="G1172">
        <v>8446</v>
      </c>
      <c r="H1172">
        <v>2499</v>
      </c>
      <c r="I1172">
        <v>2.5099999999999998</v>
      </c>
      <c r="J1172">
        <v>20</v>
      </c>
      <c r="M1172" t="str">
        <f t="shared" ca="1" si="72"/>
        <v/>
      </c>
      <c r="N1172" s="3" t="str" cm="1">
        <f t="array" ref="N1172">_xlfn.IFS(I1172&gt;=3.5,"Excellent",I1172&gt;=3,"Good",I1172&gt;=2,"Average",I1172&lt;2,"Poor")</f>
        <v>Average</v>
      </c>
      <c r="P1172" t="str">
        <f t="shared" si="73"/>
        <v/>
      </c>
      <c r="Q1172">
        <f t="shared" si="74"/>
        <v>33309</v>
      </c>
      <c r="R1172">
        <v>2024</v>
      </c>
      <c r="X1172">
        <f t="shared" ca="1" si="75"/>
        <v>414</v>
      </c>
    </row>
    <row r="1173" spans="1:24" x14ac:dyDescent="0.25">
      <c r="A1173" t="s">
        <v>2367</v>
      </c>
      <c r="B1173" t="s">
        <v>2368</v>
      </c>
      <c r="C1173" t="s">
        <v>28</v>
      </c>
      <c r="D1173" t="s">
        <v>18</v>
      </c>
      <c r="E1173" s="1">
        <v>45363</v>
      </c>
      <c r="F1173" t="s">
        <v>14</v>
      </c>
      <c r="G1173">
        <v>2545</v>
      </c>
      <c r="H1173">
        <v>7321</v>
      </c>
      <c r="I1173">
        <v>3.37</v>
      </c>
      <c r="J1173">
        <v>92</v>
      </c>
      <c r="M1173">
        <f t="shared" ca="1" si="72"/>
        <v>486</v>
      </c>
      <c r="N1173" s="3" t="str" cm="1">
        <f t="array" ref="N1173">_xlfn.IFS(I1173&gt;=3.5,"Excellent",I1173&gt;=3,"Good",I1173&gt;=2,"Average",I1173&lt;2,"Poor")</f>
        <v>Good</v>
      </c>
      <c r="P1173" t="str">
        <f t="shared" si="73"/>
        <v>True</v>
      </c>
      <c r="Q1173">
        <f t="shared" si="74"/>
        <v>33309</v>
      </c>
      <c r="R1173">
        <v>2024</v>
      </c>
      <c r="X1173" t="str">
        <f t="shared" ca="1" si="75"/>
        <v/>
      </c>
    </row>
    <row r="1174" spans="1:24" x14ac:dyDescent="0.25">
      <c r="A1174" t="s">
        <v>2369</v>
      </c>
      <c r="B1174" t="s">
        <v>2370</v>
      </c>
      <c r="C1174" t="s">
        <v>28</v>
      </c>
      <c r="D1174" t="s">
        <v>62</v>
      </c>
      <c r="E1174" s="1">
        <v>44723</v>
      </c>
      <c r="F1174" t="s">
        <v>14</v>
      </c>
      <c r="G1174">
        <v>8550</v>
      </c>
      <c r="H1174">
        <v>4769</v>
      </c>
      <c r="I1174">
        <v>3.71</v>
      </c>
      <c r="J1174">
        <v>96</v>
      </c>
      <c r="M1174">
        <f t="shared" ca="1" si="72"/>
        <v>1126</v>
      </c>
      <c r="N1174" s="3" t="str" cm="1">
        <f t="array" ref="N1174">_xlfn.IFS(I1174&gt;=3.5,"Excellent",I1174&gt;=3,"Good",I1174&gt;=2,"Average",I1174&lt;2,"Poor")</f>
        <v>Excellent</v>
      </c>
      <c r="P1174" t="str">
        <f t="shared" si="73"/>
        <v>True</v>
      </c>
      <c r="Q1174">
        <f t="shared" si="74"/>
        <v>33309</v>
      </c>
      <c r="R1174">
        <v>2022</v>
      </c>
      <c r="X1174" t="str">
        <f t="shared" ca="1" si="75"/>
        <v/>
      </c>
    </row>
    <row r="1175" spans="1:24" x14ac:dyDescent="0.25">
      <c r="A1175" t="s">
        <v>2371</v>
      </c>
      <c r="B1175" t="s">
        <v>2372</v>
      </c>
      <c r="C1175" t="s">
        <v>12</v>
      </c>
      <c r="D1175" t="s">
        <v>18</v>
      </c>
      <c r="E1175" s="1">
        <v>45163</v>
      </c>
      <c r="F1175" t="s">
        <v>14</v>
      </c>
      <c r="G1175">
        <v>12524</v>
      </c>
      <c r="H1175">
        <v>7194</v>
      </c>
      <c r="I1175">
        <v>2.37</v>
      </c>
      <c r="J1175">
        <v>83</v>
      </c>
      <c r="M1175">
        <f t="shared" ca="1" si="72"/>
        <v>686</v>
      </c>
      <c r="N1175" s="3" t="str" cm="1">
        <f t="array" ref="N1175">_xlfn.IFS(I1175&gt;=3.5,"Excellent",I1175&gt;=3,"Good",I1175&gt;=2,"Average",I1175&lt;2,"Poor")</f>
        <v>Average</v>
      </c>
      <c r="P1175" t="str">
        <f t="shared" si="73"/>
        <v>True</v>
      </c>
      <c r="Q1175">
        <f t="shared" si="74"/>
        <v>33309</v>
      </c>
      <c r="R1175">
        <v>2023</v>
      </c>
      <c r="X1175" t="str">
        <f t="shared" ca="1" si="75"/>
        <v/>
      </c>
    </row>
    <row r="1176" spans="1:24" x14ac:dyDescent="0.25">
      <c r="A1176" t="s">
        <v>2373</v>
      </c>
      <c r="B1176" t="s">
        <v>2374</v>
      </c>
      <c r="C1176" t="s">
        <v>36</v>
      </c>
      <c r="D1176" t="s">
        <v>31</v>
      </c>
      <c r="E1176" s="1">
        <v>44772</v>
      </c>
      <c r="F1176" t="s">
        <v>19</v>
      </c>
      <c r="G1176">
        <v>10890</v>
      </c>
      <c r="H1176">
        <v>155</v>
      </c>
      <c r="I1176">
        <v>3.4</v>
      </c>
      <c r="J1176">
        <v>5</v>
      </c>
      <c r="M1176" t="str">
        <f t="shared" ca="1" si="72"/>
        <v/>
      </c>
      <c r="N1176" s="3" t="str" cm="1">
        <f t="array" ref="N1176">_xlfn.IFS(I1176&gt;=3.5,"Excellent",I1176&gt;=3,"Good",I1176&gt;=2,"Average",I1176&lt;2,"Poor")</f>
        <v>Good</v>
      </c>
      <c r="P1176" t="str">
        <f t="shared" si="73"/>
        <v/>
      </c>
      <c r="Q1176">
        <f t="shared" si="74"/>
        <v>33309</v>
      </c>
      <c r="R1176">
        <v>2022</v>
      </c>
      <c r="X1176">
        <f t="shared" ca="1" si="75"/>
        <v>1077</v>
      </c>
    </row>
    <row r="1177" spans="1:24" x14ac:dyDescent="0.25">
      <c r="A1177" t="s">
        <v>2375</v>
      </c>
      <c r="B1177" t="s">
        <v>2376</v>
      </c>
      <c r="C1177" t="s">
        <v>54</v>
      </c>
      <c r="D1177" t="s">
        <v>62</v>
      </c>
      <c r="E1177" s="1">
        <v>44697</v>
      </c>
      <c r="F1177" t="s">
        <v>14</v>
      </c>
      <c r="G1177">
        <v>2192</v>
      </c>
      <c r="H1177">
        <v>6436</v>
      </c>
      <c r="I1177">
        <v>2.78</v>
      </c>
      <c r="J1177">
        <v>40</v>
      </c>
      <c r="M1177">
        <f t="shared" ca="1" si="72"/>
        <v>1152</v>
      </c>
      <c r="N1177" s="3" t="str" cm="1">
        <f t="array" ref="N1177">_xlfn.IFS(I1177&gt;=3.5,"Excellent",I1177&gt;=3,"Good",I1177&gt;=2,"Average",I1177&lt;2,"Poor")</f>
        <v>Average</v>
      </c>
      <c r="P1177" t="str">
        <f t="shared" si="73"/>
        <v>True</v>
      </c>
      <c r="Q1177">
        <f t="shared" si="74"/>
        <v>33309</v>
      </c>
      <c r="R1177">
        <v>2022</v>
      </c>
      <c r="X1177" t="str">
        <f t="shared" ca="1" si="75"/>
        <v/>
      </c>
    </row>
    <row r="1178" spans="1:24" x14ac:dyDescent="0.25">
      <c r="A1178" t="s">
        <v>2377</v>
      </c>
      <c r="B1178" t="s">
        <v>2378</v>
      </c>
      <c r="C1178" t="s">
        <v>57</v>
      </c>
      <c r="D1178" t="s">
        <v>13</v>
      </c>
      <c r="E1178" s="1">
        <v>45429</v>
      </c>
      <c r="F1178" t="s">
        <v>14</v>
      </c>
      <c r="G1178">
        <v>5414</v>
      </c>
      <c r="H1178">
        <v>7691</v>
      </c>
      <c r="I1178">
        <v>2.96</v>
      </c>
      <c r="J1178">
        <v>85</v>
      </c>
      <c r="M1178">
        <f t="shared" ca="1" si="72"/>
        <v>420</v>
      </c>
      <c r="N1178" s="3" t="str" cm="1">
        <f t="array" ref="N1178">_xlfn.IFS(I1178&gt;=3.5,"Excellent",I1178&gt;=3,"Good",I1178&gt;=2,"Average",I1178&lt;2,"Poor")</f>
        <v>Average</v>
      </c>
      <c r="P1178" t="str">
        <f t="shared" si="73"/>
        <v>True</v>
      </c>
      <c r="Q1178">
        <f t="shared" si="74"/>
        <v>33309</v>
      </c>
      <c r="R1178">
        <v>2024</v>
      </c>
      <c r="X1178" t="str">
        <f t="shared" ca="1" si="75"/>
        <v/>
      </c>
    </row>
    <row r="1179" spans="1:24" x14ac:dyDescent="0.25">
      <c r="A1179" t="s">
        <v>2379</v>
      </c>
      <c r="B1179" t="s">
        <v>2380</v>
      </c>
      <c r="C1179" t="s">
        <v>28</v>
      </c>
      <c r="D1179" t="s">
        <v>13</v>
      </c>
      <c r="E1179" s="1">
        <v>44954</v>
      </c>
      <c r="F1179" t="s">
        <v>14</v>
      </c>
      <c r="G1179">
        <v>14445</v>
      </c>
      <c r="H1179">
        <v>8067</v>
      </c>
      <c r="I1179">
        <v>2.42</v>
      </c>
      <c r="J1179">
        <v>115</v>
      </c>
      <c r="M1179">
        <f t="shared" ca="1" si="72"/>
        <v>895</v>
      </c>
      <c r="N1179" s="3" t="str" cm="1">
        <f t="array" ref="N1179">_xlfn.IFS(I1179&gt;=3.5,"Excellent",I1179&gt;=3,"Good",I1179&gt;=2,"Average",I1179&lt;2,"Poor")</f>
        <v>Average</v>
      </c>
      <c r="P1179" t="str">
        <f t="shared" si="73"/>
        <v>True</v>
      </c>
      <c r="Q1179">
        <f t="shared" si="74"/>
        <v>33309</v>
      </c>
      <c r="R1179">
        <v>2023</v>
      </c>
      <c r="X1179" t="str">
        <f t="shared" ca="1" si="75"/>
        <v/>
      </c>
    </row>
    <row r="1180" spans="1:24" x14ac:dyDescent="0.25">
      <c r="A1180" t="s">
        <v>2381</v>
      </c>
      <c r="B1180" t="s">
        <v>2382</v>
      </c>
      <c r="C1180" t="s">
        <v>28</v>
      </c>
      <c r="D1180" t="s">
        <v>18</v>
      </c>
      <c r="E1180" s="1">
        <v>44807</v>
      </c>
      <c r="F1180" t="s">
        <v>19</v>
      </c>
      <c r="G1180">
        <v>6203</v>
      </c>
      <c r="H1180">
        <v>4414</v>
      </c>
      <c r="I1180">
        <v>3.19</v>
      </c>
      <c r="J1180">
        <v>8</v>
      </c>
      <c r="M1180" t="str">
        <f t="shared" ca="1" si="72"/>
        <v/>
      </c>
      <c r="N1180" s="3" t="str" cm="1">
        <f t="array" ref="N1180">_xlfn.IFS(I1180&gt;=3.5,"Excellent",I1180&gt;=3,"Good",I1180&gt;=2,"Average",I1180&lt;2,"Poor")</f>
        <v>Good</v>
      </c>
      <c r="P1180" t="str">
        <f t="shared" si="73"/>
        <v>True</v>
      </c>
      <c r="Q1180">
        <f t="shared" si="74"/>
        <v>33309</v>
      </c>
      <c r="R1180">
        <v>2022</v>
      </c>
      <c r="X1180">
        <f t="shared" ca="1" si="75"/>
        <v>1042</v>
      </c>
    </row>
    <row r="1181" spans="1:24" x14ac:dyDescent="0.25">
      <c r="A1181" t="s">
        <v>2383</v>
      </c>
      <c r="B1181" t="s">
        <v>2384</v>
      </c>
      <c r="C1181" t="s">
        <v>57</v>
      </c>
      <c r="D1181" t="s">
        <v>31</v>
      </c>
      <c r="E1181" s="1">
        <v>44927</v>
      </c>
      <c r="F1181" t="s">
        <v>19</v>
      </c>
      <c r="G1181">
        <v>2102</v>
      </c>
      <c r="H1181">
        <v>541</v>
      </c>
      <c r="I1181">
        <v>2.87</v>
      </c>
      <c r="J1181">
        <v>65</v>
      </c>
      <c r="M1181" t="str">
        <f t="shared" ca="1" si="72"/>
        <v/>
      </c>
      <c r="N1181" s="3" t="str" cm="1">
        <f t="array" ref="N1181">_xlfn.IFS(I1181&gt;=3.5,"Excellent",I1181&gt;=3,"Good",I1181&gt;=2,"Average",I1181&lt;2,"Poor")</f>
        <v>Average</v>
      </c>
      <c r="P1181" t="str">
        <f t="shared" si="73"/>
        <v/>
      </c>
      <c r="Q1181">
        <f t="shared" si="74"/>
        <v>27106</v>
      </c>
      <c r="R1181">
        <v>2023</v>
      </c>
      <c r="X1181">
        <f t="shared" ca="1" si="75"/>
        <v>922</v>
      </c>
    </row>
    <row r="1182" spans="1:24" x14ac:dyDescent="0.25">
      <c r="A1182" t="s">
        <v>2385</v>
      </c>
      <c r="B1182" t="s">
        <v>2386</v>
      </c>
      <c r="C1182" t="s">
        <v>57</v>
      </c>
      <c r="D1182" t="s">
        <v>31</v>
      </c>
      <c r="E1182" s="1">
        <v>44742</v>
      </c>
      <c r="F1182" t="s">
        <v>14</v>
      </c>
      <c r="G1182">
        <v>11324</v>
      </c>
      <c r="H1182">
        <v>3891</v>
      </c>
      <c r="I1182">
        <v>2.94</v>
      </c>
      <c r="J1182">
        <v>86</v>
      </c>
      <c r="M1182">
        <f t="shared" ca="1" si="72"/>
        <v>1107</v>
      </c>
      <c r="N1182" s="3" t="str" cm="1">
        <f t="array" ref="N1182">_xlfn.IFS(I1182&gt;=3.5,"Excellent",I1182&gt;=3,"Good",I1182&gt;=2,"Average",I1182&lt;2,"Poor")</f>
        <v>Average</v>
      </c>
      <c r="P1182" t="str">
        <f t="shared" si="73"/>
        <v/>
      </c>
      <c r="Q1182">
        <f t="shared" si="74"/>
        <v>27106</v>
      </c>
      <c r="R1182">
        <v>2022</v>
      </c>
      <c r="X1182" t="str">
        <f t="shared" ca="1" si="75"/>
        <v/>
      </c>
    </row>
    <row r="1183" spans="1:24" x14ac:dyDescent="0.25">
      <c r="A1183" t="s">
        <v>2387</v>
      </c>
      <c r="B1183" t="s">
        <v>2388</v>
      </c>
      <c r="C1183" t="s">
        <v>17</v>
      </c>
      <c r="D1183" t="s">
        <v>13</v>
      </c>
      <c r="E1183" s="1">
        <v>44723</v>
      </c>
      <c r="F1183" t="s">
        <v>14</v>
      </c>
      <c r="G1183">
        <v>5209</v>
      </c>
      <c r="H1183">
        <v>438</v>
      </c>
      <c r="I1183">
        <v>3.47</v>
      </c>
      <c r="J1183">
        <v>60</v>
      </c>
      <c r="M1183">
        <f t="shared" ca="1" si="72"/>
        <v>1126</v>
      </c>
      <c r="N1183" s="3" t="str" cm="1">
        <f t="array" ref="N1183">_xlfn.IFS(I1183&gt;=3.5,"Excellent",I1183&gt;=3,"Good",I1183&gt;=2,"Average",I1183&lt;2,"Poor")</f>
        <v>Good</v>
      </c>
      <c r="P1183" t="str">
        <f t="shared" si="73"/>
        <v/>
      </c>
      <c r="Q1183">
        <f t="shared" si="74"/>
        <v>27106</v>
      </c>
      <c r="R1183">
        <v>2022</v>
      </c>
      <c r="X1183" t="str">
        <f t="shared" ca="1" si="75"/>
        <v/>
      </c>
    </row>
    <row r="1184" spans="1:24" x14ac:dyDescent="0.25">
      <c r="A1184" t="s">
        <v>2389</v>
      </c>
      <c r="B1184" t="s">
        <v>2390</v>
      </c>
      <c r="C1184" t="s">
        <v>17</v>
      </c>
      <c r="D1184" t="s">
        <v>62</v>
      </c>
      <c r="E1184" s="1">
        <v>44991</v>
      </c>
      <c r="F1184" t="s">
        <v>14</v>
      </c>
      <c r="G1184">
        <v>6599</v>
      </c>
      <c r="H1184">
        <v>5901</v>
      </c>
      <c r="I1184">
        <v>2.14</v>
      </c>
      <c r="J1184">
        <v>108</v>
      </c>
      <c r="M1184">
        <f t="shared" ca="1" si="72"/>
        <v>858</v>
      </c>
      <c r="N1184" s="3" t="str" cm="1">
        <f t="array" ref="N1184">_xlfn.IFS(I1184&gt;=3.5,"Excellent",I1184&gt;=3,"Good",I1184&gt;=2,"Average",I1184&lt;2,"Poor")</f>
        <v>Average</v>
      </c>
      <c r="P1184" t="str">
        <f t="shared" si="73"/>
        <v>True</v>
      </c>
      <c r="Q1184">
        <f t="shared" si="74"/>
        <v>27106</v>
      </c>
      <c r="R1184">
        <v>2023</v>
      </c>
      <c r="X1184" t="str">
        <f t="shared" ca="1" si="75"/>
        <v/>
      </c>
    </row>
    <row r="1185" spans="1:24" x14ac:dyDescent="0.25">
      <c r="A1185" t="s">
        <v>2391</v>
      </c>
      <c r="B1185" t="s">
        <v>2392</v>
      </c>
      <c r="C1185" t="s">
        <v>54</v>
      </c>
      <c r="D1185" t="s">
        <v>13</v>
      </c>
      <c r="E1185" s="1">
        <v>45151</v>
      </c>
      <c r="F1185" t="s">
        <v>19</v>
      </c>
      <c r="G1185">
        <v>4959</v>
      </c>
      <c r="H1185">
        <v>7747</v>
      </c>
      <c r="I1185">
        <v>3.05</v>
      </c>
      <c r="J1185">
        <v>96</v>
      </c>
      <c r="M1185" t="str">
        <f t="shared" ca="1" si="72"/>
        <v/>
      </c>
      <c r="N1185" s="3" t="str" cm="1">
        <f t="array" ref="N1185">_xlfn.IFS(I1185&gt;=3.5,"Excellent",I1185&gt;=3,"Good",I1185&gt;=2,"Average",I1185&lt;2,"Poor")</f>
        <v>Good</v>
      </c>
      <c r="P1185" t="str">
        <f t="shared" si="73"/>
        <v>True</v>
      </c>
      <c r="Q1185">
        <f t="shared" si="74"/>
        <v>27106</v>
      </c>
      <c r="R1185">
        <v>2023</v>
      </c>
      <c r="X1185">
        <f t="shared" ca="1" si="75"/>
        <v>698</v>
      </c>
    </row>
    <row r="1186" spans="1:24" x14ac:dyDescent="0.25">
      <c r="A1186" t="s">
        <v>2393</v>
      </c>
      <c r="B1186" t="s">
        <v>2394</v>
      </c>
      <c r="C1186" t="s">
        <v>17</v>
      </c>
      <c r="D1186" t="s">
        <v>62</v>
      </c>
      <c r="E1186" s="1">
        <v>45416</v>
      </c>
      <c r="F1186" t="s">
        <v>14</v>
      </c>
      <c r="G1186">
        <v>8084</v>
      </c>
      <c r="H1186">
        <v>6788</v>
      </c>
      <c r="I1186">
        <v>3.26</v>
      </c>
      <c r="J1186">
        <v>115</v>
      </c>
      <c r="M1186">
        <f t="shared" ca="1" si="72"/>
        <v>433</v>
      </c>
      <c r="N1186" s="3" t="str" cm="1">
        <f t="array" ref="N1186">_xlfn.IFS(I1186&gt;=3.5,"Excellent",I1186&gt;=3,"Good",I1186&gt;=2,"Average",I1186&lt;2,"Poor")</f>
        <v>Good</v>
      </c>
      <c r="P1186" t="str">
        <f t="shared" si="73"/>
        <v>True</v>
      </c>
      <c r="Q1186">
        <f t="shared" si="74"/>
        <v>27106</v>
      </c>
      <c r="R1186">
        <v>2024</v>
      </c>
      <c r="X1186" t="str">
        <f t="shared" ca="1" si="75"/>
        <v/>
      </c>
    </row>
    <row r="1187" spans="1:24" x14ac:dyDescent="0.25">
      <c r="A1187" t="s">
        <v>2395</v>
      </c>
      <c r="B1187" t="s">
        <v>2396</v>
      </c>
      <c r="C1187" t="s">
        <v>12</v>
      </c>
      <c r="D1187" t="s">
        <v>13</v>
      </c>
      <c r="E1187" s="1">
        <v>44626</v>
      </c>
      <c r="F1187" t="s">
        <v>19</v>
      </c>
      <c r="G1187">
        <v>4306</v>
      </c>
      <c r="H1187">
        <v>3004</v>
      </c>
      <c r="I1187">
        <v>2</v>
      </c>
      <c r="J1187">
        <v>60</v>
      </c>
      <c r="M1187" t="str">
        <f t="shared" ca="1" si="72"/>
        <v/>
      </c>
      <c r="N1187" s="3" t="str" cm="1">
        <f t="array" ref="N1187">_xlfn.IFS(I1187&gt;=3.5,"Excellent",I1187&gt;=3,"Good",I1187&gt;=2,"Average",I1187&lt;2,"Poor")</f>
        <v>Average</v>
      </c>
      <c r="P1187" t="str">
        <f t="shared" si="73"/>
        <v>True</v>
      </c>
      <c r="Q1187">
        <f t="shared" si="74"/>
        <v>27106</v>
      </c>
      <c r="R1187">
        <v>2022</v>
      </c>
      <c r="X1187">
        <f t="shared" ca="1" si="75"/>
        <v>1223</v>
      </c>
    </row>
    <row r="1188" spans="1:24" x14ac:dyDescent="0.25">
      <c r="A1188" t="s">
        <v>2397</v>
      </c>
      <c r="B1188" t="s">
        <v>2398</v>
      </c>
      <c r="C1188" t="s">
        <v>22</v>
      </c>
      <c r="D1188" t="s">
        <v>31</v>
      </c>
      <c r="E1188" s="1">
        <v>44678</v>
      </c>
      <c r="F1188" t="s">
        <v>39</v>
      </c>
      <c r="G1188">
        <v>6691</v>
      </c>
      <c r="H1188">
        <v>7758</v>
      </c>
      <c r="I1188">
        <v>3.21</v>
      </c>
      <c r="J1188">
        <v>87</v>
      </c>
      <c r="M1188" t="str">
        <f t="shared" ca="1" si="72"/>
        <v/>
      </c>
      <c r="N1188" s="3" t="str" cm="1">
        <f t="array" ref="N1188">_xlfn.IFS(I1188&gt;=3.5,"Excellent",I1188&gt;=3,"Good",I1188&gt;=2,"Average",I1188&lt;2,"Poor")</f>
        <v>Good</v>
      </c>
      <c r="P1188" t="str">
        <f t="shared" si="73"/>
        <v>True</v>
      </c>
      <c r="Q1188">
        <f t="shared" si="74"/>
        <v>27106</v>
      </c>
      <c r="R1188">
        <v>2022</v>
      </c>
      <c r="X1188" t="str">
        <f t="shared" ca="1" si="75"/>
        <v/>
      </c>
    </row>
    <row r="1189" spans="1:24" x14ac:dyDescent="0.25">
      <c r="A1189" t="s">
        <v>2399</v>
      </c>
      <c r="B1189" t="s">
        <v>2400</v>
      </c>
      <c r="C1189" t="s">
        <v>22</v>
      </c>
      <c r="D1189" t="s">
        <v>18</v>
      </c>
      <c r="E1189" s="1">
        <v>44928</v>
      </c>
      <c r="F1189" t="s">
        <v>19</v>
      </c>
      <c r="G1189">
        <v>7712</v>
      </c>
      <c r="H1189">
        <v>5785</v>
      </c>
      <c r="I1189">
        <v>3.48</v>
      </c>
      <c r="J1189">
        <v>115</v>
      </c>
      <c r="M1189" t="str">
        <f t="shared" ca="1" si="72"/>
        <v/>
      </c>
      <c r="N1189" s="3" t="str" cm="1">
        <f t="array" ref="N1189">_xlfn.IFS(I1189&gt;=3.5,"Excellent",I1189&gt;=3,"Good",I1189&gt;=2,"Average",I1189&lt;2,"Poor")</f>
        <v>Good</v>
      </c>
      <c r="P1189" t="str">
        <f t="shared" si="73"/>
        <v>True</v>
      </c>
      <c r="Q1189">
        <f t="shared" si="74"/>
        <v>27106</v>
      </c>
      <c r="R1189">
        <v>2023</v>
      </c>
      <c r="X1189">
        <f t="shared" ca="1" si="75"/>
        <v>921</v>
      </c>
    </row>
    <row r="1190" spans="1:24" x14ac:dyDescent="0.25">
      <c r="A1190" t="s">
        <v>2401</v>
      </c>
      <c r="B1190" t="s">
        <v>2402</v>
      </c>
      <c r="C1190" t="s">
        <v>28</v>
      </c>
      <c r="D1190" t="s">
        <v>18</v>
      </c>
      <c r="E1190" s="1">
        <v>44757</v>
      </c>
      <c r="F1190" t="s">
        <v>39</v>
      </c>
      <c r="G1190">
        <v>7597</v>
      </c>
      <c r="H1190">
        <v>9463</v>
      </c>
      <c r="I1190">
        <v>3.9</v>
      </c>
      <c r="J1190">
        <v>65</v>
      </c>
      <c r="M1190" t="str">
        <f t="shared" ca="1" si="72"/>
        <v/>
      </c>
      <c r="N1190" s="3" t="str" cm="1">
        <f t="array" ref="N1190">_xlfn.IFS(I1190&gt;=3.5,"Excellent",I1190&gt;=3,"Good",I1190&gt;=2,"Average",I1190&lt;2,"Poor")</f>
        <v>Excellent</v>
      </c>
      <c r="P1190" t="str">
        <f t="shared" si="73"/>
        <v>True</v>
      </c>
      <c r="Q1190">
        <f t="shared" si="74"/>
        <v>19394</v>
      </c>
      <c r="R1190">
        <v>2022</v>
      </c>
      <c r="X1190" t="str">
        <f t="shared" ca="1" si="75"/>
        <v/>
      </c>
    </row>
    <row r="1191" spans="1:24" x14ac:dyDescent="0.25">
      <c r="A1191" t="s">
        <v>2403</v>
      </c>
      <c r="B1191" t="s">
        <v>2404</v>
      </c>
      <c r="C1191" t="s">
        <v>12</v>
      </c>
      <c r="D1191" t="s">
        <v>13</v>
      </c>
      <c r="E1191" s="1">
        <v>45133</v>
      </c>
      <c r="F1191" t="s">
        <v>19</v>
      </c>
      <c r="G1191">
        <v>9288</v>
      </c>
      <c r="H1191">
        <v>8158</v>
      </c>
      <c r="I1191">
        <v>3.65</v>
      </c>
      <c r="J1191">
        <v>55</v>
      </c>
      <c r="M1191" t="str">
        <f t="shared" ca="1" si="72"/>
        <v/>
      </c>
      <c r="N1191" s="3" t="str" cm="1">
        <f t="array" ref="N1191">_xlfn.IFS(I1191&gt;=3.5,"Excellent",I1191&gt;=3,"Good",I1191&gt;=2,"Average",I1191&lt;2,"Poor")</f>
        <v>Excellent</v>
      </c>
      <c r="P1191" t="str">
        <f t="shared" si="73"/>
        <v>True</v>
      </c>
      <c r="Q1191">
        <f t="shared" si="74"/>
        <v>19394</v>
      </c>
      <c r="R1191">
        <v>2023</v>
      </c>
      <c r="X1191">
        <f t="shared" ca="1" si="75"/>
        <v>716</v>
      </c>
    </row>
    <row r="1192" spans="1:24" x14ac:dyDescent="0.25">
      <c r="A1192" t="s">
        <v>2405</v>
      </c>
      <c r="B1192" t="s">
        <v>2406</v>
      </c>
      <c r="C1192" t="s">
        <v>54</v>
      </c>
      <c r="D1192" t="s">
        <v>62</v>
      </c>
      <c r="E1192" s="1">
        <v>45397</v>
      </c>
      <c r="F1192" t="s">
        <v>14</v>
      </c>
      <c r="G1192">
        <v>3940</v>
      </c>
      <c r="H1192">
        <v>4690</v>
      </c>
      <c r="I1192">
        <v>3.42</v>
      </c>
      <c r="J1192">
        <v>12</v>
      </c>
      <c r="M1192">
        <f t="shared" ca="1" si="72"/>
        <v>452</v>
      </c>
      <c r="N1192" s="3" t="str" cm="1">
        <f t="array" ref="N1192">_xlfn.IFS(I1192&gt;=3.5,"Excellent",I1192&gt;=3,"Good",I1192&gt;=2,"Average",I1192&lt;2,"Poor")</f>
        <v>Good</v>
      </c>
      <c r="P1192" t="str">
        <f t="shared" si="73"/>
        <v>True</v>
      </c>
      <c r="Q1192">
        <f t="shared" si="74"/>
        <v>19394</v>
      </c>
      <c r="R1192">
        <v>2024</v>
      </c>
      <c r="X1192" t="str">
        <f t="shared" ca="1" si="75"/>
        <v/>
      </c>
    </row>
    <row r="1193" spans="1:24" x14ac:dyDescent="0.25">
      <c r="A1193" t="s">
        <v>2407</v>
      </c>
      <c r="B1193" t="s">
        <v>2408</v>
      </c>
      <c r="C1193" t="s">
        <v>12</v>
      </c>
      <c r="D1193" t="s">
        <v>31</v>
      </c>
      <c r="E1193" s="1">
        <v>44949</v>
      </c>
      <c r="F1193" t="s">
        <v>14</v>
      </c>
      <c r="G1193">
        <v>10498</v>
      </c>
      <c r="H1193">
        <v>3841</v>
      </c>
      <c r="I1193">
        <v>3.76</v>
      </c>
      <c r="J1193">
        <v>94</v>
      </c>
      <c r="M1193">
        <f t="shared" ca="1" si="72"/>
        <v>900</v>
      </c>
      <c r="N1193" s="3" t="str" cm="1">
        <f t="array" ref="N1193">_xlfn.IFS(I1193&gt;=3.5,"Excellent",I1193&gt;=3,"Good",I1193&gt;=2,"Average",I1193&lt;2,"Poor")</f>
        <v>Excellent</v>
      </c>
      <c r="P1193" t="str">
        <f t="shared" si="73"/>
        <v/>
      </c>
      <c r="Q1193">
        <f t="shared" si="74"/>
        <v>19394</v>
      </c>
      <c r="R1193">
        <v>2023</v>
      </c>
      <c r="X1193" t="str">
        <f t="shared" ca="1" si="75"/>
        <v/>
      </c>
    </row>
    <row r="1194" spans="1:24" x14ac:dyDescent="0.25">
      <c r="A1194" t="s">
        <v>2409</v>
      </c>
      <c r="B1194" t="s">
        <v>2410</v>
      </c>
      <c r="C1194" t="s">
        <v>22</v>
      </c>
      <c r="D1194" t="s">
        <v>18</v>
      </c>
      <c r="E1194" s="1">
        <v>45309</v>
      </c>
      <c r="F1194" t="s">
        <v>19</v>
      </c>
      <c r="G1194">
        <v>9664</v>
      </c>
      <c r="H1194">
        <v>5928</v>
      </c>
      <c r="I1194">
        <v>2.8</v>
      </c>
      <c r="J1194">
        <v>52</v>
      </c>
      <c r="M1194" t="str">
        <f t="shared" ca="1" si="72"/>
        <v/>
      </c>
      <c r="N1194" s="3" t="str" cm="1">
        <f t="array" ref="N1194">_xlfn.IFS(I1194&gt;=3.5,"Excellent",I1194&gt;=3,"Good",I1194&gt;=2,"Average",I1194&lt;2,"Poor")</f>
        <v>Average</v>
      </c>
      <c r="P1194" t="str">
        <f t="shared" si="73"/>
        <v>True</v>
      </c>
      <c r="Q1194">
        <f t="shared" si="74"/>
        <v>19394</v>
      </c>
      <c r="R1194">
        <v>2024</v>
      </c>
      <c r="X1194">
        <f t="shared" ca="1" si="75"/>
        <v>540</v>
      </c>
    </row>
    <row r="1195" spans="1:24" x14ac:dyDescent="0.25">
      <c r="A1195" t="s">
        <v>2411</v>
      </c>
      <c r="B1195" t="s">
        <v>2412</v>
      </c>
      <c r="C1195" t="s">
        <v>57</v>
      </c>
      <c r="D1195" t="s">
        <v>31</v>
      </c>
      <c r="E1195" s="1">
        <v>45089</v>
      </c>
      <c r="F1195" t="s">
        <v>19</v>
      </c>
      <c r="G1195">
        <v>13106</v>
      </c>
      <c r="H1195">
        <v>6487</v>
      </c>
      <c r="I1195">
        <v>2.5299999999999998</v>
      </c>
      <c r="J1195">
        <v>61</v>
      </c>
      <c r="M1195" t="str">
        <f t="shared" ca="1" si="72"/>
        <v/>
      </c>
      <c r="N1195" s="3" t="str" cm="1">
        <f t="array" ref="N1195">_xlfn.IFS(I1195&gt;=3.5,"Excellent",I1195&gt;=3,"Good",I1195&gt;=2,"Average",I1195&lt;2,"Poor")</f>
        <v>Average</v>
      </c>
      <c r="P1195" t="str">
        <f t="shared" si="73"/>
        <v/>
      </c>
      <c r="Q1195">
        <f t="shared" si="74"/>
        <v>9730</v>
      </c>
      <c r="R1195">
        <v>2023</v>
      </c>
      <c r="X1195">
        <f t="shared" ca="1" si="75"/>
        <v>760</v>
      </c>
    </row>
    <row r="1196" spans="1:24" x14ac:dyDescent="0.25">
      <c r="A1196" t="s">
        <v>2413</v>
      </c>
      <c r="B1196" t="s">
        <v>2414</v>
      </c>
      <c r="C1196" t="s">
        <v>54</v>
      </c>
      <c r="D1196" t="s">
        <v>18</v>
      </c>
      <c r="E1196" s="1">
        <v>44968</v>
      </c>
      <c r="F1196" t="s">
        <v>19</v>
      </c>
      <c r="G1196">
        <v>9730</v>
      </c>
      <c r="H1196">
        <v>4810</v>
      </c>
      <c r="I1196">
        <v>3.13</v>
      </c>
      <c r="J1196">
        <v>73</v>
      </c>
      <c r="M1196" t="str">
        <f t="shared" ca="1" si="72"/>
        <v/>
      </c>
      <c r="N1196" s="3" t="str" cm="1">
        <f t="array" ref="N1196">_xlfn.IFS(I1196&gt;=3.5,"Excellent",I1196&gt;=3,"Good",I1196&gt;=2,"Average",I1196&lt;2,"Poor")</f>
        <v>Good</v>
      </c>
      <c r="P1196" t="str">
        <f t="shared" si="73"/>
        <v/>
      </c>
      <c r="Q1196">
        <f t="shared" si="74"/>
        <v>9730</v>
      </c>
      <c r="R1196">
        <v>2023</v>
      </c>
      <c r="X1196">
        <f t="shared" ca="1" si="75"/>
        <v>881</v>
      </c>
    </row>
    <row r="1197" spans="1:24" x14ac:dyDescent="0.25">
      <c r="A1197" t="s">
        <v>2415</v>
      </c>
      <c r="B1197" t="s">
        <v>2416</v>
      </c>
      <c r="C1197" t="s">
        <v>36</v>
      </c>
      <c r="D1197" t="s">
        <v>18</v>
      </c>
      <c r="E1197" s="1">
        <v>45211</v>
      </c>
      <c r="F1197" t="s">
        <v>14</v>
      </c>
      <c r="G1197">
        <v>8764</v>
      </c>
      <c r="H1197">
        <v>6811</v>
      </c>
      <c r="I1197">
        <v>3.72</v>
      </c>
      <c r="J1197">
        <v>100</v>
      </c>
      <c r="M1197">
        <f t="shared" ca="1" si="72"/>
        <v>638</v>
      </c>
      <c r="N1197" s="3" t="str" cm="1">
        <f t="array" ref="N1197">_xlfn.IFS(I1197&gt;=3.5,"Excellent",I1197&gt;=3,"Good",I1197&gt;=2,"Average",I1197&lt;2,"Poor")</f>
        <v>Excellent</v>
      </c>
      <c r="P1197" t="str">
        <f t="shared" si="73"/>
        <v>True</v>
      </c>
      <c r="Q1197">
        <f t="shared" si="74"/>
        <v>0</v>
      </c>
      <c r="R1197">
        <v>2023</v>
      </c>
      <c r="X1197" t="str">
        <f t="shared" ca="1" si="75"/>
        <v/>
      </c>
    </row>
    <row r="1198" spans="1:24" x14ac:dyDescent="0.25">
      <c r="A1198" t="s">
        <v>2417</v>
      </c>
      <c r="B1198" t="s">
        <v>2418</v>
      </c>
      <c r="C1198" t="s">
        <v>25</v>
      </c>
      <c r="D1198" t="s">
        <v>18</v>
      </c>
      <c r="E1198" s="1">
        <v>45260</v>
      </c>
      <c r="F1198" t="s">
        <v>39</v>
      </c>
      <c r="G1198">
        <v>11719</v>
      </c>
      <c r="H1198">
        <v>8671</v>
      </c>
      <c r="I1198">
        <v>2.4500000000000002</v>
      </c>
      <c r="J1198">
        <v>60</v>
      </c>
      <c r="M1198" t="str">
        <f t="shared" ca="1" si="72"/>
        <v/>
      </c>
      <c r="N1198" s="3" t="str" cm="1">
        <f t="array" ref="N1198">_xlfn.IFS(I1198&gt;=3.5,"Excellent",I1198&gt;=3,"Good",I1198&gt;=2,"Average",I1198&lt;2,"Poor")</f>
        <v>Average</v>
      </c>
      <c r="P1198" t="str">
        <f t="shared" si="73"/>
        <v>True</v>
      </c>
      <c r="Q1198">
        <f t="shared" si="74"/>
        <v>0</v>
      </c>
      <c r="R1198">
        <v>2023</v>
      </c>
      <c r="X1198" t="str">
        <f t="shared" ca="1" si="75"/>
        <v/>
      </c>
    </row>
    <row r="1199" spans="1:24" x14ac:dyDescent="0.25">
      <c r="A1199" t="s">
        <v>2419</v>
      </c>
      <c r="B1199" t="s">
        <v>2420</v>
      </c>
      <c r="C1199" t="s">
        <v>12</v>
      </c>
      <c r="D1199" t="s">
        <v>18</v>
      </c>
      <c r="E1199" s="1">
        <v>44816</v>
      </c>
      <c r="F1199" t="s">
        <v>14</v>
      </c>
      <c r="G1199">
        <v>14745</v>
      </c>
      <c r="H1199">
        <v>5188</v>
      </c>
      <c r="I1199">
        <v>2.2999999999999998</v>
      </c>
      <c r="J1199">
        <v>106</v>
      </c>
      <c r="M1199">
        <f t="shared" ca="1" si="72"/>
        <v>1033</v>
      </c>
      <c r="N1199" s="3" t="str" cm="1">
        <f t="array" ref="N1199">_xlfn.IFS(I1199&gt;=3.5,"Excellent",I1199&gt;=3,"Good",I1199&gt;=2,"Average",I1199&lt;2,"Poor")</f>
        <v>Average</v>
      </c>
      <c r="P1199" t="str">
        <f t="shared" si="73"/>
        <v/>
      </c>
      <c r="Q1199">
        <f t="shared" si="74"/>
        <v>0</v>
      </c>
      <c r="R1199">
        <v>2022</v>
      </c>
      <c r="X1199" t="str">
        <f t="shared" ca="1" si="75"/>
        <v/>
      </c>
    </row>
    <row r="1200" spans="1:24" x14ac:dyDescent="0.25">
      <c r="A1200" t="s">
        <v>2421</v>
      </c>
      <c r="B1200" t="s">
        <v>2422</v>
      </c>
      <c r="C1200" t="s">
        <v>12</v>
      </c>
      <c r="D1200" t="s">
        <v>18</v>
      </c>
      <c r="E1200" s="1">
        <v>45177</v>
      </c>
      <c r="F1200" t="s">
        <v>14</v>
      </c>
      <c r="G1200">
        <v>9290</v>
      </c>
      <c r="H1200">
        <v>2010</v>
      </c>
      <c r="I1200">
        <v>3.08</v>
      </c>
      <c r="J1200">
        <v>65</v>
      </c>
      <c r="M1200">
        <f t="shared" ca="1" si="72"/>
        <v>672</v>
      </c>
      <c r="N1200" s="3" t="str" cm="1">
        <f t="array" ref="N1200">_xlfn.IFS(I1200&gt;=3.5,"Excellent",I1200&gt;=3,"Good",I1200&gt;=2,"Average",I1200&lt;2,"Poor")</f>
        <v>Good</v>
      </c>
      <c r="P1200" t="str">
        <f t="shared" si="73"/>
        <v/>
      </c>
      <c r="Q1200">
        <f t="shared" si="74"/>
        <v>0</v>
      </c>
      <c r="R1200">
        <v>2023</v>
      </c>
      <c r="X1200" t="str">
        <f t="shared" ca="1" si="75"/>
        <v/>
      </c>
    </row>
    <row r="1201" spans="1:24" x14ac:dyDescent="0.25">
      <c r="A1201" t="s">
        <v>2423</v>
      </c>
      <c r="B1201" t="s">
        <v>2424</v>
      </c>
      <c r="C1201" t="s">
        <v>25</v>
      </c>
      <c r="D1201" t="s">
        <v>62</v>
      </c>
      <c r="E1201" s="1">
        <v>45322</v>
      </c>
      <c r="F1201" t="s">
        <v>19</v>
      </c>
      <c r="G1201">
        <v>2623</v>
      </c>
      <c r="H1201">
        <v>5298</v>
      </c>
      <c r="I1201">
        <v>2.14</v>
      </c>
      <c r="J1201">
        <v>119</v>
      </c>
      <c r="M1201" t="str">
        <f t="shared" ca="1" si="72"/>
        <v/>
      </c>
      <c r="N1201" s="3" t="str" cm="1">
        <f t="array" ref="N1201">_xlfn.IFS(I1201&gt;=3.5,"Excellent",I1201&gt;=3,"Good",I1201&gt;=2,"Average",I1201&lt;2,"Poor")</f>
        <v>Average</v>
      </c>
      <c r="P1201" t="str">
        <f t="shared" si="73"/>
        <v>True</v>
      </c>
      <c r="Q1201">
        <f t="shared" si="74"/>
        <v>0</v>
      </c>
      <c r="R1201">
        <v>2024</v>
      </c>
      <c r="X1201">
        <f t="shared" ca="1" si="75"/>
        <v>527</v>
      </c>
    </row>
  </sheetData>
  <autoFilter ref="D1:D1201" xr:uid="{D2DFA03F-D330-402F-98BC-1023DD6BA74D}"/>
  <conditionalFormatting sqref="H2:H1201">
    <cfRule type="cellIs" dxfId="2" priority="1" operator="greaterThan">
      <formula>5000</formula>
    </cfRule>
    <cfRule type="cellIs" dxfId="1" priority="2" operator="greaterThan">
      <formula>5000</formula>
    </cfRule>
  </conditionalFormatting>
  <conditionalFormatting sqref="I2:I1201">
    <cfRule type="cellIs" dxfId="0" priority="4" operator="lessThan">
      <formula>2.5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3CB-7035-435B-B04F-232B44BD03E8}">
  <dimension ref="A1:B5"/>
  <sheetViews>
    <sheetView workbookViewId="0">
      <selection activeCell="B6" sqref="B6"/>
    </sheetView>
  </sheetViews>
  <sheetFormatPr defaultRowHeight="15" x14ac:dyDescent="0.25"/>
  <cols>
    <col min="1" max="1" width="14" customWidth="1"/>
  </cols>
  <sheetData>
    <row r="1" spans="1:2" x14ac:dyDescent="0.25">
      <c r="A1" t="s">
        <v>2425</v>
      </c>
      <c r="B1" t="s">
        <v>2426</v>
      </c>
    </row>
    <row r="2" spans="1:2" x14ac:dyDescent="0.25">
      <c r="A2" t="s">
        <v>13</v>
      </c>
      <c r="B2" t="s">
        <v>2427</v>
      </c>
    </row>
    <row r="3" spans="1:2" x14ac:dyDescent="0.25">
      <c r="A3" t="s">
        <v>2428</v>
      </c>
      <c r="B3" t="s">
        <v>2429</v>
      </c>
    </row>
    <row r="4" spans="1:2" x14ac:dyDescent="0.25">
      <c r="A4" t="s">
        <v>2430</v>
      </c>
      <c r="B4" t="s">
        <v>2431</v>
      </c>
    </row>
    <row r="5" spans="1:2" x14ac:dyDescent="0.25">
      <c r="A5" t="s">
        <v>2432</v>
      </c>
      <c r="B5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10th no.</vt:lpstr>
      <vt:lpstr>11 no.</vt:lpstr>
      <vt:lpstr>University_Enrollment_Dataset</vt:lpstr>
      <vt:lpstr>Faculty 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Sukanya Rout</cp:lastModifiedBy>
  <dcterms:created xsi:type="dcterms:W3CDTF">2025-07-03T07:22:36Z</dcterms:created>
  <dcterms:modified xsi:type="dcterms:W3CDTF">2025-07-11T16:33:08Z</dcterms:modified>
</cp:coreProperties>
</file>